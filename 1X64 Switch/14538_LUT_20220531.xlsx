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chind-my.sharepoint.com/personal/yanyuan_huang_molex_com/Documents/Documents/yyh/Work_2022/MCU-Replace_14538/Firmware/OE0B_1x64_MEMS_Switch/"/>
    </mc:Choice>
  </mc:AlternateContent>
  <xr:revisionPtr revIDLastSave="0" documentId="8_{2A9E366C-1268-4409-8FE9-E8B51997EB1D}" xr6:coauthVersionLast="47" xr6:coauthVersionMax="47" xr10:uidLastSave="{00000000-0000-0000-0000-000000000000}"/>
  <bookViews>
    <workbookView xWindow="2130" yWindow="3555" windowWidth="23415" windowHeight="11385" tabRatio="895" firstSheet="1" activeTab="1" xr2:uid="{00000000-000D-0000-FFFF-FFFF00000000}"/>
  </bookViews>
  <sheets>
    <sheet name="1.MFG信息表" sheetId="1" r:id="rId1"/>
    <sheet name="2.MemosSwitch定标数据表" sheetId="2" r:id="rId2"/>
    <sheet name="5. Msg ID and MF ObjectID Lists" sheetId="3" r:id="rId3"/>
    <sheet name="6. Tester Cmd List" sheetId="4" r:id="rId4"/>
  </sheets>
  <calcPr calcId="191028"/>
  <customWorkbookViews>
    <customWorkbookView name="Huang, Yanyuan - Personal View" guid="{8C5435F6-07C7-4500-A606-6BFF83ACC092}" mergeInterval="0" personalView="1" maximized="1" xWindow="-8" yWindow="-8" windowWidth="1382" windowHeight="744" tabRatio="895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 s="1"/>
  <c r="E21" i="1" s="1"/>
  <c r="E22" i="1" s="1"/>
  <c r="E23" i="1" s="1"/>
  <c r="E24" i="1" s="1"/>
  <c r="E25" i="1" s="1"/>
  <c r="E26" i="1" s="1"/>
  <c r="J15" i="3"/>
  <c r="J16" i="3"/>
  <c r="J17" i="3"/>
  <c r="J18" i="3"/>
  <c r="J14" i="3"/>
  <c r="H11" i="2" l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l="1"/>
  <c r="E16" i="1" s="1"/>
  <c r="E17" i="1" s="1"/>
  <c r="E18" i="1" s="1"/>
  <c r="E7" i="2"/>
  <c r="E8" i="2" s="1"/>
  <c r="E9" i="2" s="1"/>
  <c r="E10" i="2" s="1"/>
  <c r="E11" i="2" s="1"/>
  <c r="E12" i="2" s="1"/>
  <c r="E13" i="2" s="1"/>
  <c r="E14" i="2" l="1"/>
  <c r="E15" i="2" s="1"/>
  <c r="E16" i="2" s="1"/>
  <c r="E17" i="2" s="1"/>
  <c r="E18" i="2" s="1"/>
  <c r="E19" i="2" s="1"/>
  <c r="E20" i="2" s="1"/>
  <c r="E21" i="2" s="1"/>
  <c r="E22" i="2" s="1"/>
  <c r="E23" i="2" s="1"/>
  <c r="E25" i="2" s="1"/>
  <c r="E27" i="2" s="1"/>
  <c r="E28" i="2" s="1"/>
  <c r="E29" i="2" s="1"/>
  <c r="E31" i="2" s="1"/>
  <c r="E33" i="2" s="1"/>
  <c r="E34" i="2" s="1"/>
  <c r="E35" i="2" s="1"/>
  <c r="E37" i="2" s="1"/>
  <c r="E39" i="2" s="1"/>
  <c r="E40" i="2" s="1"/>
  <c r="E41" i="2" s="1"/>
  <c r="E43" i="2" s="1"/>
  <c r="E45" i="2" s="1"/>
  <c r="E46" i="2" s="1"/>
  <c r="E47" i="2" s="1"/>
</calcChain>
</file>

<file path=xl/sharedStrings.xml><?xml version="1.0" encoding="utf-8"?>
<sst xmlns="http://schemas.openxmlformats.org/spreadsheetml/2006/main" count="667" uniqueCount="403">
  <si>
    <t>1、MFG信息表（Image类型为0x82，大小为1024 Bytes，存储Flash地址为0x0D800）</t>
    <phoneticPr fontId="4" type="noConversion"/>
  </si>
  <si>
    <t>表名</t>
    <phoneticPr fontId="3" type="noConversion"/>
  </si>
  <si>
    <t>概要</t>
    <phoneticPr fontId="3" type="noConversion"/>
  </si>
  <si>
    <t>详细</t>
    <phoneticPr fontId="3" type="noConversion"/>
  </si>
  <si>
    <t>名称</t>
    <phoneticPr fontId="3" type="noConversion"/>
  </si>
  <si>
    <r>
      <t>相对地址</t>
    </r>
    <r>
      <rPr>
        <b/>
        <sz val="10"/>
        <color theme="1"/>
        <rFont val="Arial"/>
        <family val="2"/>
      </rPr>
      <t>(HEX)</t>
    </r>
    <phoneticPr fontId="3" type="noConversion"/>
  </si>
  <si>
    <t>大小 (byte)</t>
  </si>
  <si>
    <t>缺省值 (DEC)</t>
  </si>
  <si>
    <r>
      <rPr>
        <b/>
        <sz val="10"/>
        <color theme="1"/>
        <rFont val="宋体"/>
        <family val="3"/>
        <charset val="134"/>
      </rPr>
      <t>缺省值</t>
    </r>
    <r>
      <rPr>
        <b/>
        <sz val="10"/>
        <color theme="1"/>
        <rFont val="Arial"/>
        <family val="2"/>
      </rPr>
      <t xml:space="preserve"> (HEX)</t>
    </r>
    <phoneticPr fontId="4" type="noConversion"/>
  </si>
  <si>
    <t>单位</t>
    <phoneticPr fontId="3" type="noConversion"/>
  </si>
  <si>
    <t>说明</t>
    <phoneticPr fontId="3" type="noConversion"/>
  </si>
  <si>
    <r>
      <t>MFG</t>
    </r>
    <r>
      <rPr>
        <sz val="9"/>
        <color rgb="FF000000"/>
        <rFont val="宋体"/>
        <family val="3"/>
        <charset val="134"/>
      </rPr>
      <t>信息表</t>
    </r>
    <phoneticPr fontId="4" type="noConversion"/>
  </si>
  <si>
    <t>生产信息</t>
    <phoneticPr fontId="3" type="noConversion"/>
  </si>
  <si>
    <t>模块信息</t>
    <phoneticPr fontId="3" type="noConversion"/>
  </si>
  <si>
    <t>Serial Number</t>
    <phoneticPr fontId="3" type="noConversion"/>
  </si>
  <si>
    <t>-</t>
  </si>
  <si>
    <t>"A1234567"</t>
    <phoneticPr fontId="4" type="noConversion"/>
  </si>
  <si>
    <t>-</t>
    <phoneticPr fontId="3" type="noConversion"/>
  </si>
  <si>
    <r>
      <rPr>
        <sz val="9"/>
        <rFont val="宋体"/>
        <family val="3"/>
        <charset val="134"/>
      </rPr>
      <t>填写产品</t>
    </r>
    <r>
      <rPr>
        <sz val="9"/>
        <rFont val="Arial"/>
        <family val="2"/>
      </rPr>
      <t>SN</t>
    </r>
    <phoneticPr fontId="4" type="noConversion"/>
  </si>
  <si>
    <t>Part Number</t>
    <phoneticPr fontId="3" type="noConversion"/>
  </si>
  <si>
    <t>"PN0123456789ABCD"</t>
    <phoneticPr fontId="4" type="noConversion"/>
  </si>
  <si>
    <r>
      <rPr>
        <sz val="9"/>
        <rFont val="宋体"/>
        <family val="3"/>
        <charset val="134"/>
      </rPr>
      <t>填写产品</t>
    </r>
    <r>
      <rPr>
        <sz val="9"/>
        <rFont val="Arial"/>
        <family val="2"/>
      </rPr>
      <t>PN</t>
    </r>
    <phoneticPr fontId="4" type="noConversion"/>
  </si>
  <si>
    <t>Manufacturer ID</t>
    <phoneticPr fontId="3" type="noConversion"/>
  </si>
  <si>
    <t>-</t>
    <phoneticPr fontId="4" type="noConversion"/>
  </si>
  <si>
    <t>0x0001</t>
    <phoneticPr fontId="4" type="noConversion"/>
  </si>
  <si>
    <t>Identification of manufacturer. 0x0001: Oplink</t>
    <phoneticPr fontId="4" type="noConversion"/>
  </si>
  <si>
    <t>FW Version</t>
    <phoneticPr fontId="3" type="noConversion"/>
  </si>
  <si>
    <t>0x0100</t>
    <phoneticPr fontId="4" type="noConversion"/>
  </si>
  <si>
    <t>X.Y, X - 1st byte, Y – 2nd byte</t>
    <phoneticPr fontId="4" type="noConversion"/>
  </si>
  <si>
    <t>HW Version</t>
    <phoneticPr fontId="3" type="noConversion"/>
  </si>
  <si>
    <t>X.Y, X - 1st byte, Y – 1nd byte</t>
  </si>
  <si>
    <t>Reserved</t>
    <phoneticPr fontId="4" type="noConversion"/>
  </si>
  <si>
    <t>0x00</t>
    <phoneticPr fontId="4" type="noConversion"/>
  </si>
  <si>
    <t>Manufacturing Date</t>
    <phoneticPr fontId="4" type="noConversion"/>
  </si>
  <si>
    <t>0x07E6051E</t>
    <phoneticPr fontId="4" type="noConversion"/>
  </si>
  <si>
    <t>YYYY-MM-DD
YYYY – 1st and 2nd bytes
MM - 3rd byte, DD - 4th  byte</t>
    <phoneticPr fontId="4" type="noConversion"/>
  </si>
  <si>
    <t>Calibration Date</t>
    <phoneticPr fontId="4" type="noConversion"/>
  </si>
  <si>
    <t>YYYY-MM-DD
YYYY – 1st and 2nd bytes
MM - 3rd byte, DD - 5th  byte</t>
  </si>
  <si>
    <t>Switch Type</t>
    <phoneticPr fontId="4" type="noConversion"/>
  </si>
  <si>
    <t>Represent the max channel number, for example
0x02 – 1x2 Switch
...
0x40 -- 1x40 Switch</t>
  </si>
  <si>
    <r>
      <rPr>
        <sz val="9"/>
        <color theme="1"/>
        <rFont val="宋体"/>
        <family val="3"/>
        <charset val="134"/>
      </rPr>
      <t>保留位，填写数值</t>
    </r>
    <r>
      <rPr>
        <sz val="9"/>
        <color theme="1"/>
        <rFont val="Arial"/>
        <family val="3"/>
        <charset val="134"/>
      </rPr>
      <t>0</t>
    </r>
    <phoneticPr fontId="4" type="noConversion"/>
  </si>
  <si>
    <t>GUI Ver</t>
    <phoneticPr fontId="4" type="noConversion"/>
  </si>
  <si>
    <t>"1.0.0.0"</t>
    <phoneticPr fontId="4" type="noConversion"/>
  </si>
  <si>
    <r>
      <rPr>
        <sz val="9"/>
        <rFont val="宋体"/>
        <family val="3"/>
        <charset val="134"/>
      </rPr>
      <t>生产模块所使用</t>
    </r>
    <r>
      <rPr>
        <sz val="9"/>
        <rFont val="Arial"/>
        <family val="3"/>
        <charset val="134"/>
      </rPr>
      <t>GUI</t>
    </r>
    <r>
      <rPr>
        <sz val="9"/>
        <rFont val="宋体"/>
        <family val="3"/>
        <charset val="134"/>
      </rPr>
      <t>版本</t>
    </r>
    <phoneticPr fontId="4" type="noConversion"/>
  </si>
  <si>
    <t>Switch1 SN</t>
    <phoneticPr fontId="4" type="noConversion"/>
  </si>
  <si>
    <t>"Device1SN"</t>
  </si>
  <si>
    <r>
      <rPr>
        <sz val="9"/>
        <rFont val="宋体"/>
        <family val="3"/>
        <charset val="134"/>
      </rPr>
      <t>填写选用的</t>
    </r>
    <r>
      <rPr>
        <sz val="9"/>
        <rFont val="Arial"/>
        <family val="3"/>
        <charset val="134"/>
      </rPr>
      <t>MEMS Switch1 SN</t>
    </r>
  </si>
  <si>
    <t>Switch2 SN</t>
    <phoneticPr fontId="4" type="noConversion"/>
  </si>
  <si>
    <t>"Device2SN"</t>
  </si>
  <si>
    <t>填写选用的MEMS Switch2 SN</t>
  </si>
  <si>
    <t>Switch3 SN</t>
    <phoneticPr fontId="4" type="noConversion"/>
  </si>
  <si>
    <t>"Device3SN"</t>
  </si>
  <si>
    <t>填写选用的MEMS Switch3 SN</t>
  </si>
  <si>
    <t>Switch4 SN</t>
    <phoneticPr fontId="4" type="noConversion"/>
  </si>
  <si>
    <t>"Device4SN"</t>
  </si>
  <si>
    <t>填写选用的MEMS Switch4 SN</t>
  </si>
  <si>
    <t>预留</t>
    <phoneticPr fontId="3" type="noConversion"/>
  </si>
  <si>
    <t>Reserved</t>
    <phoneticPr fontId="3" type="noConversion"/>
  </si>
  <si>
    <t>预留</t>
    <phoneticPr fontId="4" type="noConversion"/>
  </si>
  <si>
    <r>
      <rPr>
        <sz val="9"/>
        <color rgb="FF000000"/>
        <rFont val="宋体"/>
        <family val="2"/>
        <charset val="134"/>
      </rPr>
      <t>单个</t>
    </r>
    <r>
      <rPr>
        <sz val="9"/>
        <color rgb="FF000000"/>
        <rFont val="Arial"/>
        <family val="2"/>
      </rPr>
      <t>Switch</t>
    </r>
    <r>
      <rPr>
        <sz val="9"/>
        <color rgb="FF000000"/>
        <rFont val="宋体"/>
        <family val="2"/>
        <charset val="134"/>
      </rPr>
      <t>光路</t>
    </r>
    <r>
      <rPr>
        <sz val="9"/>
        <color rgb="FF000000"/>
        <rFont val="Arial"/>
        <family val="2"/>
      </rPr>
      <t>Mapping</t>
    </r>
    <phoneticPr fontId="4" type="noConversion"/>
  </si>
  <si>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</rPr>
      <t>光路通道与</t>
    </r>
    <r>
      <rPr>
        <sz val="9"/>
        <color theme="1"/>
        <rFont val="宋体"/>
        <family val="2"/>
        <charset val="134"/>
      </rPr>
      <t>定标数据</t>
    </r>
    <r>
      <rPr>
        <sz val="9"/>
        <color theme="1"/>
        <rFont val="宋体"/>
        <family val="2"/>
      </rPr>
      <t>表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  <charset val="134"/>
      </rPr>
      <t>物理</t>
    </r>
    <r>
      <rPr>
        <sz val="9"/>
        <color theme="1"/>
        <rFont val="宋体"/>
        <family val="2"/>
      </rPr>
      <t>通道的对应关系</t>
    </r>
    <phoneticPr fontId="4" type="noConversion"/>
  </si>
  <si>
    <t>Switch 1</t>
  </si>
  <si>
    <t>BYTE bChMapping[32]</t>
  </si>
  <si>
    <t>1,2,3,4,…,32</t>
  </si>
  <si>
    <r>
      <rPr>
        <sz val="9"/>
        <color theme="1"/>
        <rFont val="宋体"/>
        <family val="2"/>
      </rPr>
      <t>光路通道为索引，内容填写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</rPr>
      <t>的</t>
    </r>
    <r>
      <rPr>
        <sz val="9"/>
        <color theme="1"/>
        <rFont val="宋体"/>
        <family val="2"/>
        <charset val="134"/>
      </rPr>
      <t>物理</t>
    </r>
    <r>
      <rPr>
        <sz val="9"/>
        <color theme="1"/>
        <rFont val="宋体"/>
        <family val="2"/>
      </rPr>
      <t>通道数字，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</rPr>
      <t>的通道范围为</t>
    </r>
    <r>
      <rPr>
        <sz val="9"/>
        <color theme="1"/>
        <rFont val="Arial"/>
        <family val="2"/>
      </rPr>
      <t>1~N</t>
    </r>
    <r>
      <rPr>
        <sz val="9"/>
        <color theme="1"/>
        <rFont val="宋体"/>
        <family val="2"/>
      </rPr>
      <t>，</t>
    </r>
    <r>
      <rPr>
        <sz val="9"/>
        <color theme="1"/>
        <rFont val="Arial"/>
        <family val="2"/>
      </rPr>
      <t>N</t>
    </r>
    <r>
      <rPr>
        <sz val="9"/>
        <color theme="1"/>
        <rFont val="宋体"/>
        <family val="2"/>
      </rPr>
      <t>最大数值为</t>
    </r>
    <r>
      <rPr>
        <sz val="9"/>
        <color theme="1"/>
        <rFont val="Arial"/>
        <family val="2"/>
      </rPr>
      <t>32</t>
    </r>
    <phoneticPr fontId="4" type="noConversion"/>
  </si>
  <si>
    <t>Switch 2</t>
  </si>
  <si>
    <t>1,2,3,4,…,32</t>
    <phoneticPr fontId="4" type="noConversion"/>
  </si>
  <si>
    <t>Switch 3</t>
  </si>
  <si>
    <t>Switch 4</t>
  </si>
  <si>
    <t>0x00</t>
  </si>
  <si>
    <r>
      <t>64</t>
    </r>
    <r>
      <rPr>
        <sz val="9"/>
        <color rgb="FF000000"/>
        <rFont val="宋体"/>
        <family val="2"/>
        <charset val="134"/>
      </rPr>
      <t>个通道</t>
    </r>
    <r>
      <rPr>
        <sz val="9"/>
        <color rgb="FF000000"/>
        <rFont val="Arial"/>
        <family val="2"/>
      </rPr>
      <t>Mapping</t>
    </r>
    <phoneticPr fontId="4" type="noConversion"/>
  </si>
  <si>
    <r>
      <t>64</t>
    </r>
    <r>
      <rPr>
        <sz val="9"/>
        <color theme="1"/>
        <rFont val="宋体"/>
        <family val="2"/>
      </rPr>
      <t>个</t>
    </r>
    <r>
      <rPr>
        <sz val="9"/>
        <color theme="1"/>
        <rFont val="Arial"/>
        <family val="2"/>
      </rPr>
      <t>Port</t>
    </r>
    <r>
      <rPr>
        <sz val="9"/>
        <color theme="1"/>
        <rFont val="宋体"/>
        <family val="2"/>
      </rPr>
      <t>与</t>
    </r>
    <r>
      <rPr>
        <sz val="9"/>
        <color theme="1"/>
        <rFont val="Arial"/>
        <family val="2"/>
      </rPr>
      <t>4</t>
    </r>
    <r>
      <rPr>
        <sz val="9"/>
        <color theme="1"/>
        <rFont val="宋体"/>
        <family val="2"/>
      </rPr>
      <t>个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  <charset val="134"/>
      </rPr>
      <t>光路</t>
    </r>
    <r>
      <rPr>
        <sz val="9"/>
        <color theme="1"/>
        <rFont val="宋体"/>
        <family val="2"/>
      </rPr>
      <t>通道的对应关系</t>
    </r>
    <phoneticPr fontId="4" type="noConversion"/>
  </si>
  <si>
    <t>Switch 1~4</t>
    <phoneticPr fontId="4" type="noConversion"/>
  </si>
  <si>
    <t>BYTE bPortVsSwCh[64][4]</t>
  </si>
  <si>
    <r>
      <rPr>
        <sz val="9"/>
        <color theme="1"/>
        <rFont val="宋体"/>
        <family val="2"/>
      </rPr>
      <t>产品的</t>
    </r>
    <r>
      <rPr>
        <sz val="9"/>
        <color theme="1"/>
        <rFont val="Arial"/>
        <family val="2"/>
      </rPr>
      <t>64</t>
    </r>
    <r>
      <rPr>
        <sz val="9"/>
        <color theme="1"/>
        <rFont val="宋体"/>
        <family val="2"/>
      </rPr>
      <t>通道由</t>
    </r>
    <r>
      <rPr>
        <sz val="9"/>
        <color theme="1"/>
        <rFont val="Arial"/>
        <family val="2"/>
      </rPr>
      <t>4</t>
    </r>
    <r>
      <rPr>
        <sz val="9"/>
        <color theme="1"/>
        <rFont val="宋体"/>
        <family val="2"/>
      </rPr>
      <t>个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</rPr>
      <t>组成，光路如下图所示，因此，每个</t>
    </r>
    <r>
      <rPr>
        <sz val="9"/>
        <color theme="1"/>
        <rFont val="Arial"/>
        <family val="2"/>
      </rPr>
      <t>Port</t>
    </r>
    <r>
      <rPr>
        <sz val="9"/>
        <color theme="1"/>
        <rFont val="宋体"/>
        <family val="2"/>
      </rPr>
      <t>口需要对应</t>
    </r>
    <r>
      <rPr>
        <sz val="9"/>
        <color theme="1"/>
        <rFont val="Arial"/>
        <family val="2"/>
      </rPr>
      <t>4</t>
    </r>
    <r>
      <rPr>
        <sz val="9"/>
        <color theme="1"/>
        <rFont val="宋体"/>
        <family val="2"/>
      </rPr>
      <t>个</t>
    </r>
    <r>
      <rPr>
        <sz val="9"/>
        <color theme="1"/>
        <rFont val="Arial"/>
        <family val="2"/>
      </rPr>
      <t>Switch</t>
    </r>
    <r>
      <rPr>
        <sz val="9"/>
        <color theme="1"/>
        <rFont val="宋体"/>
        <family val="2"/>
      </rPr>
      <t>的通道状态。</t>
    </r>
  </si>
  <si>
    <r>
      <rPr>
        <sz val="9"/>
        <color rgb="FF000000"/>
        <rFont val="宋体"/>
        <family val="2"/>
        <charset val="134"/>
      </rPr>
      <t>预留</t>
    </r>
    <phoneticPr fontId="4" type="noConversion"/>
  </si>
  <si>
    <r>
      <rPr>
        <sz val="9"/>
        <color theme="1"/>
        <rFont val="宋体"/>
        <family val="3"/>
        <charset val="134"/>
      </rPr>
      <t>预留</t>
    </r>
    <phoneticPr fontId="4" type="noConversion"/>
  </si>
  <si>
    <t>CRC32</t>
    <phoneticPr fontId="4" type="noConversion"/>
  </si>
  <si>
    <t>CRC32</t>
    <phoneticPr fontId="3" type="noConversion"/>
  </si>
  <si>
    <t>0xFFFFFFFF</t>
    <phoneticPr fontId="4" type="noConversion"/>
  </si>
  <si>
    <r>
      <t>CRC32</t>
    </r>
    <r>
      <rPr>
        <sz val="9"/>
        <color theme="1"/>
        <rFont val="宋体"/>
        <family val="3"/>
        <charset val="134"/>
      </rPr>
      <t>计算范围是前</t>
    </r>
    <r>
      <rPr>
        <sz val="9"/>
        <color theme="1"/>
        <rFont val="Arial"/>
        <family val="2"/>
      </rPr>
      <t>1020</t>
    </r>
    <r>
      <rPr>
        <sz val="9"/>
        <color theme="1"/>
        <rFont val="宋体"/>
        <family val="3"/>
        <charset val="134"/>
      </rPr>
      <t>字节，采用小端存储方式。</t>
    </r>
    <phoneticPr fontId="4" type="noConversion"/>
  </si>
  <si>
    <r>
      <t>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Arial"/>
        <family val="2"/>
      </rPr>
      <t>MemosSwitch</t>
    </r>
    <r>
      <rPr>
        <b/>
        <sz val="10"/>
        <color theme="1"/>
        <rFont val="宋体"/>
        <family val="3"/>
        <charset val="134"/>
      </rPr>
      <t>定标数据表（</t>
    </r>
    <r>
      <rPr>
        <b/>
        <sz val="10"/>
        <color theme="1"/>
        <rFont val="Arial"/>
        <family val="2"/>
      </rPr>
      <t>Image</t>
    </r>
    <r>
      <rPr>
        <b/>
        <sz val="10"/>
        <color theme="1"/>
        <rFont val="宋体"/>
        <family val="3"/>
        <charset val="134"/>
      </rPr>
      <t>类型为</t>
    </r>
    <r>
      <rPr>
        <b/>
        <sz val="10"/>
        <color theme="1"/>
        <rFont val="Arial"/>
        <family val="2"/>
      </rPr>
      <t>0x85</t>
    </r>
    <r>
      <rPr>
        <b/>
        <sz val="10"/>
        <color theme="1"/>
        <rFont val="宋体"/>
        <family val="3"/>
        <charset val="134"/>
      </rPr>
      <t>，数据表大小为</t>
    </r>
    <r>
      <rPr>
        <b/>
        <sz val="10"/>
        <color theme="1"/>
        <rFont val="Arial"/>
        <family val="2"/>
      </rPr>
      <t>2K Bytes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Arial"/>
        <family val="2"/>
      </rPr>
      <t>Switch</t>
    </r>
    <r>
      <rPr>
        <b/>
        <sz val="10"/>
        <color theme="1"/>
        <rFont val="宋体"/>
        <family val="3"/>
        <charset val="134"/>
      </rPr>
      <t>定标数据表的存储</t>
    </r>
    <r>
      <rPr>
        <b/>
        <sz val="10"/>
        <color theme="1"/>
        <rFont val="Arial"/>
        <family val="2"/>
      </rPr>
      <t>Flash</t>
    </r>
    <r>
      <rPr>
        <b/>
        <sz val="10"/>
        <color theme="1"/>
        <rFont val="宋体"/>
        <family val="3"/>
        <charset val="134"/>
      </rPr>
      <t>地址为</t>
    </r>
    <r>
      <rPr>
        <b/>
        <sz val="10"/>
        <color theme="1"/>
        <rFont val="Arial"/>
        <family val="2"/>
      </rPr>
      <t>0x0E000~0x0F800</t>
    </r>
    <r>
      <rPr>
        <b/>
        <sz val="10"/>
        <color theme="1"/>
        <rFont val="宋体"/>
        <family val="3"/>
        <charset val="134"/>
      </rPr>
      <t>）</t>
    </r>
    <phoneticPr fontId="4" type="noConversion"/>
  </si>
  <si>
    <t>Switch1: 0x0E000</t>
    <phoneticPr fontId="4" type="noConversion"/>
  </si>
  <si>
    <t>Switch2: 0x0E800</t>
    <phoneticPr fontId="4" type="noConversion"/>
  </si>
  <si>
    <t>Switch3: 0x0F000</t>
    <phoneticPr fontId="4" type="noConversion"/>
  </si>
  <si>
    <t>Switch4: 0x0F800</t>
    <phoneticPr fontId="4" type="noConversion"/>
  </si>
  <si>
    <r>
      <rPr>
        <b/>
        <sz val="10"/>
        <color theme="1"/>
        <rFont val="宋体"/>
        <family val="3"/>
        <charset val="134"/>
      </rPr>
      <t>相对地址</t>
    </r>
    <r>
      <rPr>
        <b/>
        <sz val="10"/>
        <color theme="1"/>
        <rFont val="Arial"/>
        <family val="2"/>
      </rPr>
      <t>(HEX)</t>
    </r>
    <phoneticPr fontId="3" type="noConversion"/>
  </si>
  <si>
    <t>缺省值 (HEX)</t>
  </si>
  <si>
    <t>MEMS Switch Calibration Lookup Table</t>
  </si>
  <si>
    <t>开关类型</t>
    <phoneticPr fontId="4" type="noConversion"/>
  </si>
  <si>
    <r>
      <rPr>
        <sz val="10"/>
        <color theme="1"/>
        <rFont val="宋体"/>
        <family val="3"/>
        <charset val="134"/>
      </rPr>
      <t>最大开关通道数</t>
    </r>
    <r>
      <rPr>
        <sz val="10"/>
        <color theme="1"/>
        <rFont val="Arial"/>
        <family val="2"/>
      </rPr>
      <t xml:space="preserve"> </t>
    </r>
    <phoneticPr fontId="4" type="noConversion"/>
  </si>
  <si>
    <t>bSWTypeChanNum</t>
    <phoneticPr fontId="4" type="noConversion"/>
  </si>
  <si>
    <r>
      <rPr>
        <sz val="10"/>
        <color theme="1"/>
        <rFont val="宋体"/>
        <family val="3"/>
        <charset val="134"/>
      </rPr>
      <t>例如</t>
    </r>
    <r>
      <rPr>
        <sz val="10"/>
        <color theme="1"/>
        <rFont val="Arial"/>
        <family val="2"/>
      </rPr>
      <t>1x19 Switch</t>
    </r>
    <r>
      <rPr>
        <sz val="10"/>
        <color theme="1"/>
        <rFont val="宋体"/>
        <family val="3"/>
        <charset val="134"/>
      </rPr>
      <t>，该值为</t>
    </r>
    <r>
      <rPr>
        <sz val="10"/>
        <color theme="1"/>
        <rFont val="Arial"/>
        <family val="2"/>
      </rPr>
      <t>19</t>
    </r>
    <r>
      <rPr>
        <sz val="10"/>
        <color theme="1"/>
        <rFont val="宋体"/>
        <family val="3"/>
        <charset val="134"/>
      </rPr>
      <t>。</t>
    </r>
    <phoneticPr fontId="4" type="noConversion"/>
  </si>
  <si>
    <t>偶数字节对齐预留</t>
    <phoneticPr fontId="4" type="noConversion"/>
  </si>
  <si>
    <t>bReserved0</t>
    <phoneticPr fontId="4" type="noConversion"/>
  </si>
  <si>
    <t>保留位，填写数值0。</t>
    <phoneticPr fontId="4" type="noConversion"/>
  </si>
  <si>
    <t>Dark point</t>
    <phoneticPr fontId="3" type="noConversion"/>
  </si>
  <si>
    <r>
      <rPr>
        <sz val="9"/>
        <color rgb="FF000000"/>
        <rFont val="宋体"/>
        <family val="3"/>
        <charset val="134"/>
      </rPr>
      <t>选择一个中转点</t>
    </r>
    <r>
      <rPr>
        <sz val="9"/>
        <rFont val="宋体"/>
        <family val="3"/>
        <charset val="134"/>
      </rPr>
      <t>或通道</t>
    </r>
    <r>
      <rPr>
        <sz val="9"/>
        <color rgb="FF000000"/>
        <rFont val="宋体"/>
        <family val="3"/>
        <charset val="134"/>
      </rPr>
      <t>作为</t>
    </r>
    <r>
      <rPr>
        <sz val="9"/>
        <color rgb="FF000000"/>
        <rFont val="Arial"/>
        <family val="2"/>
      </rPr>
      <t>Dark point</t>
    </r>
  </si>
  <si>
    <t>bDarkPoint</t>
    <phoneticPr fontId="3" type="noConversion"/>
  </si>
  <si>
    <t>如果填写数值1~25，表示使用中转点作为Darkpoint。
如果填写数值26~61，表示使用通道1~36作为Darkpoint。
如果填写数值0，表示使用0电压作为Darkpoint。</t>
  </si>
  <si>
    <t>bReserved1</t>
    <phoneticPr fontId="4" type="noConversion"/>
  </si>
  <si>
    <t>Step Delay</t>
    <phoneticPr fontId="4" type="noConversion"/>
  </si>
  <si>
    <r>
      <rPr>
        <sz val="9"/>
        <color rgb="FF000000"/>
        <rFont val="宋体"/>
        <family val="3"/>
        <charset val="134"/>
      </rPr>
      <t>设置驱动</t>
    </r>
    <r>
      <rPr>
        <sz val="9"/>
        <color rgb="FF000000"/>
        <rFont val="Arial"/>
        <family val="2"/>
      </rPr>
      <t>DAC</t>
    </r>
    <r>
      <rPr>
        <sz val="9"/>
        <color rgb="FF000000"/>
        <rFont val="宋体"/>
        <family val="3"/>
        <charset val="134"/>
      </rPr>
      <t>后的延时</t>
    </r>
  </si>
  <si>
    <t>wSwitchDelayUs</t>
  </si>
  <si>
    <r>
      <rPr>
        <sz val="9"/>
        <rFont val="宋体"/>
        <family val="3"/>
        <charset val="134"/>
      </rPr>
      <t>时间单位为微秒。该延时数值默认为</t>
    </r>
    <r>
      <rPr>
        <sz val="9"/>
        <rFont val="Arial"/>
        <family val="2"/>
      </rPr>
      <t>200us</t>
    </r>
    <r>
      <rPr>
        <sz val="9"/>
        <rFont val="宋体"/>
        <family val="3"/>
        <charset val="134"/>
      </rPr>
      <t>。</t>
    </r>
  </si>
  <si>
    <t>bReserved2[2]</t>
    <phoneticPr fontId="4" type="noConversion"/>
  </si>
  <si>
    <t>开关通道对应的中转点</t>
    <phoneticPr fontId="4" type="noConversion"/>
  </si>
  <si>
    <t>每个开关通道都有对应的中转点</t>
    <phoneticPr fontId="4" type="noConversion"/>
  </si>
  <si>
    <t>bMidPoint[36]</t>
    <phoneticPr fontId="4" type="noConversion"/>
  </si>
  <si>
    <r>
      <rPr>
        <sz val="9"/>
        <rFont val="宋体"/>
        <family val="3"/>
        <charset val="134"/>
      </rPr>
      <t>索引</t>
    </r>
    <r>
      <rPr>
        <sz val="9"/>
        <rFont val="Arial"/>
        <family val="2"/>
      </rPr>
      <t>0~35</t>
    </r>
    <r>
      <rPr>
        <sz val="9"/>
        <rFont val="宋体"/>
        <family val="3"/>
        <charset val="134"/>
      </rPr>
      <t>为开关通道，索引内容填写中转点序号，中转点序号范围是</t>
    </r>
    <r>
      <rPr>
        <sz val="9"/>
        <rFont val="Arial"/>
        <family val="2"/>
      </rPr>
      <t>1~m</t>
    </r>
    <r>
      <rPr>
        <sz val="9"/>
        <rFont val="宋体"/>
        <family val="3"/>
        <charset val="134"/>
      </rPr>
      <t>，</t>
    </r>
    <r>
      <rPr>
        <sz val="9"/>
        <rFont val="Arial"/>
        <family val="2"/>
      </rPr>
      <t>m</t>
    </r>
    <r>
      <rPr>
        <sz val="9"/>
        <rFont val="宋体"/>
        <family val="3"/>
        <charset val="134"/>
      </rPr>
      <t>的最大值为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。如果没有中转点，索引内容填写数值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</si>
  <si>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rPr>
        <sz val="9"/>
        <color rgb="FF000000"/>
        <rFont val="宋体"/>
        <family val="3"/>
        <charset val="134"/>
      </rPr>
      <t>开关通道</t>
    </r>
    <r>
      <rPr>
        <sz val="9"/>
        <color rgb="FF000000"/>
        <rFont val="Arial"/>
        <family val="2"/>
      </rPr>
      <t>IL</t>
    </r>
    <phoneticPr fontId="3" type="noConversion"/>
  </si>
  <si>
    <t>记录开关通道的插损值</t>
    <phoneticPr fontId="3" type="noConversion"/>
  </si>
  <si>
    <t>wSwitchIL[36]</t>
    <phoneticPr fontId="3" type="noConversion"/>
  </si>
  <si>
    <t>0.01dB</t>
    <phoneticPr fontId="3" type="noConversion"/>
  </si>
  <si>
    <r>
      <rPr>
        <sz val="9"/>
        <rFont val="宋体"/>
        <family val="3"/>
        <charset val="134"/>
      </rPr>
      <t>索引</t>
    </r>
    <r>
      <rPr>
        <sz val="9"/>
        <rFont val="Arial"/>
        <family val="2"/>
      </rPr>
      <t>0~35</t>
    </r>
    <r>
      <rPr>
        <sz val="9"/>
        <rFont val="宋体"/>
        <family val="3"/>
        <charset val="134"/>
      </rPr>
      <t>为开关通道，索引内容填写</t>
    </r>
    <r>
      <rPr>
        <sz val="9"/>
        <rFont val="Arial"/>
        <family val="2"/>
      </rPr>
      <t>IL</t>
    </r>
    <r>
      <rPr>
        <sz val="9"/>
        <rFont val="宋体"/>
        <family val="3"/>
        <charset val="134"/>
      </rPr>
      <t>数值，例如数值</t>
    </r>
    <r>
      <rPr>
        <sz val="9"/>
        <rFont val="Arial"/>
        <family val="2"/>
      </rPr>
      <t>56</t>
    </r>
    <r>
      <rPr>
        <sz val="9"/>
        <rFont val="宋体"/>
        <family val="3"/>
        <charset val="134"/>
      </rPr>
      <t>，表示</t>
    </r>
    <r>
      <rPr>
        <sz val="9"/>
        <rFont val="Arial"/>
        <family val="2"/>
      </rPr>
      <t>IL</t>
    </r>
    <r>
      <rPr>
        <sz val="9"/>
        <rFont val="宋体"/>
        <family val="3"/>
        <charset val="134"/>
      </rPr>
      <t>值为</t>
    </r>
    <r>
      <rPr>
        <sz val="9"/>
        <rFont val="Arial"/>
        <family val="2"/>
      </rPr>
      <t>0.56dB</t>
    </r>
    <r>
      <rPr>
        <sz val="9"/>
        <rFont val="宋体"/>
        <family val="3"/>
        <charset val="134"/>
      </rPr>
      <t>。如果不需要记录通道</t>
    </r>
    <r>
      <rPr>
        <sz val="9"/>
        <rFont val="Arial"/>
        <family val="2"/>
      </rPr>
      <t>IL</t>
    </r>
    <r>
      <rPr>
        <sz val="9"/>
        <rFont val="宋体"/>
        <family val="3"/>
        <charset val="134"/>
      </rPr>
      <t>，填写数值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</si>
  <si>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t>bReserved3[44]</t>
    <phoneticPr fontId="4" type="noConversion"/>
  </si>
  <si>
    <r>
      <rPr>
        <sz val="10"/>
        <color theme="1"/>
        <rFont val="宋体"/>
        <family val="3"/>
        <charset val="134"/>
      </rPr>
      <t>保留位，填写数值</t>
    </r>
    <r>
      <rPr>
        <sz val="10"/>
        <color theme="1"/>
        <rFont val="Arial"/>
        <family val="2"/>
      </rPr>
      <t>0</t>
    </r>
    <phoneticPr fontId="4" type="noConversion"/>
  </si>
  <si>
    <t>中转点路径表</t>
    <phoneticPr fontId="4" type="noConversion"/>
  </si>
  <si>
    <r>
      <rPr>
        <sz val="10"/>
        <color theme="1"/>
        <rFont val="宋体"/>
        <family val="3"/>
        <charset val="134"/>
      </rPr>
      <t>中转点个数</t>
    </r>
    <phoneticPr fontId="4" type="noConversion"/>
  </si>
  <si>
    <t>bMidPointNum</t>
    <phoneticPr fontId="4" type="noConversion"/>
  </si>
  <si>
    <r>
      <rPr>
        <sz val="10"/>
        <color theme="1"/>
        <rFont val="宋体"/>
        <family val="3"/>
        <charset val="134"/>
      </rPr>
      <t>如果对</t>
    </r>
    <r>
      <rPr>
        <sz val="10"/>
        <color theme="1"/>
        <rFont val="Arial"/>
        <family val="2"/>
      </rPr>
      <t>MemosSwitch</t>
    </r>
    <r>
      <rPr>
        <sz val="10"/>
        <color theme="1"/>
        <rFont val="宋体"/>
        <family val="3"/>
        <charset val="134"/>
      </rPr>
      <t>切换没有</t>
    </r>
    <r>
      <rPr>
        <sz val="10"/>
        <color theme="1"/>
        <rFont val="Arial"/>
        <family val="2"/>
      </rPr>
      <t>Hitless</t>
    </r>
    <r>
      <rPr>
        <sz val="10"/>
        <color theme="1"/>
        <rFont val="宋体"/>
        <family val="3"/>
        <charset val="134"/>
      </rPr>
      <t>要求，切换过程可以取消中转点，那么中转点个数填写</t>
    </r>
    <r>
      <rPr>
        <sz val="10"/>
        <color theme="1"/>
        <rFont val="Arial"/>
        <family val="2"/>
      </rPr>
      <t>0</t>
    </r>
    <r>
      <rPr>
        <sz val="10"/>
        <color theme="1"/>
        <rFont val="宋体"/>
        <family val="3"/>
        <charset val="134"/>
      </rPr>
      <t>。</t>
    </r>
    <phoneticPr fontId="4" type="noConversion"/>
  </si>
  <si>
    <t>bReserved4</t>
    <phoneticPr fontId="4" type="noConversion"/>
  </si>
  <si>
    <r>
      <t>25x25</t>
    </r>
    <r>
      <rPr>
        <sz val="10"/>
        <color theme="1"/>
        <rFont val="宋体"/>
        <family val="3"/>
        <charset val="134"/>
      </rPr>
      <t>矩阵表</t>
    </r>
    <phoneticPr fontId="4" type="noConversion"/>
  </si>
  <si>
    <t>stMidPointsMatrix</t>
    <phoneticPr fontId="4" type="noConversion"/>
  </si>
  <si>
    <r>
      <rPr>
        <sz val="10"/>
        <color theme="1"/>
        <rFont val="宋体"/>
        <family val="3"/>
        <charset val="134"/>
      </rPr>
      <t>该矩阵空间可以存放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Arial"/>
        <family val="2"/>
      </rPr>
      <t>25</t>
    </r>
    <r>
      <rPr>
        <sz val="10"/>
        <color theme="1"/>
        <rFont val="宋体"/>
        <family val="3"/>
        <charset val="134"/>
      </rPr>
      <t>个中转点的路径查询表。如果没有中转点，该矩阵表所有内容均为</t>
    </r>
    <r>
      <rPr>
        <sz val="10"/>
        <color theme="1"/>
        <rFont val="Arial"/>
        <family val="2"/>
      </rPr>
      <t>0</t>
    </r>
    <r>
      <rPr>
        <sz val="10"/>
        <color theme="1"/>
        <rFont val="宋体"/>
        <family val="3"/>
        <charset val="134"/>
      </rPr>
      <t>。</t>
    </r>
    <phoneticPr fontId="4" type="noConversion"/>
  </si>
  <si>
    <t>bReserved5</t>
    <phoneticPr fontId="4" type="noConversion"/>
  </si>
  <si>
    <t>预留数据区</t>
    <phoneticPr fontId="4" type="noConversion"/>
  </si>
  <si>
    <t>bReserved6[236]</t>
    <phoneticPr fontId="4" type="noConversion"/>
  </si>
  <si>
    <r>
      <rPr>
        <sz val="9"/>
        <color rgb="FF000000"/>
        <rFont val="宋体"/>
        <family val="3"/>
        <charset val="134"/>
      </rPr>
      <t>低温定标数据</t>
    </r>
    <phoneticPr fontId="3" type="noConversion"/>
  </si>
  <si>
    <r>
      <rPr>
        <sz val="9"/>
        <color rgb="FF000000"/>
        <rFont val="宋体"/>
        <family val="3"/>
        <charset val="134"/>
      </rPr>
      <t>数据是否有效标志</t>
    </r>
    <phoneticPr fontId="3" type="noConversion"/>
  </si>
  <si>
    <t>wValid</t>
    <phoneticPr fontId="4" type="noConversion"/>
  </si>
  <si>
    <r>
      <rPr>
        <sz val="9"/>
        <rFont val="宋体"/>
        <family val="3"/>
        <charset val="134"/>
      </rPr>
      <t>如果低温定标数据有效，填写</t>
    </r>
    <r>
      <rPr>
        <sz val="9"/>
        <rFont val="Arial"/>
        <family val="2"/>
      </rPr>
      <t>0x01</t>
    </r>
    <r>
      <rPr>
        <sz val="9"/>
        <rFont val="宋体"/>
        <family val="3"/>
        <charset val="134"/>
      </rPr>
      <t>，否则填写数值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</si>
  <si>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rPr>
        <sz val="9"/>
        <color rgb="FF000000"/>
        <rFont val="宋体"/>
        <family val="3"/>
        <charset val="134"/>
      </rPr>
      <t>定标温度值</t>
    </r>
    <phoneticPr fontId="3" type="noConversion"/>
  </si>
  <si>
    <t>sTemperature</t>
    <phoneticPr fontId="4" type="noConversion"/>
  </si>
  <si>
    <r>
      <t>0.01</t>
    </r>
    <r>
      <rPr>
        <sz val="9"/>
        <rFont val="宋体"/>
        <family val="3"/>
        <charset val="134"/>
      </rPr>
      <t>℃</t>
    </r>
    <phoneticPr fontId="4" type="noConversion"/>
  </si>
  <si>
    <r>
      <rPr>
        <sz val="9"/>
        <rFont val="宋体"/>
        <family val="3"/>
        <charset val="134"/>
      </rPr>
      <t>例如</t>
    </r>
    <r>
      <rPr>
        <sz val="9"/>
        <rFont val="Arial"/>
        <family val="2"/>
      </rPr>
      <t>2488</t>
    </r>
    <r>
      <rPr>
        <sz val="9"/>
        <rFont val="宋体"/>
        <family val="3"/>
        <charset val="134"/>
      </rPr>
      <t>，表示温度值为</t>
    </r>
    <r>
      <rPr>
        <sz val="9"/>
        <rFont val="Arial"/>
        <family val="2"/>
      </rPr>
      <t>24.88</t>
    </r>
    <r>
      <rPr>
        <sz val="9"/>
        <rFont val="宋体"/>
        <family val="3"/>
        <charset val="134"/>
      </rPr>
      <t>℃</t>
    </r>
    <phoneticPr fontId="4" type="noConversion"/>
  </si>
  <si>
    <t>stChDAC[36]</t>
    <phoneticPr fontId="4" type="noConversion"/>
  </si>
  <si>
    <t>sDACx</t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</si>
  <si>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36</t>
    </r>
    <r>
      <rPr>
        <sz val="9"/>
        <rFont val="宋体"/>
        <family val="3"/>
        <charset val="134"/>
      </rPr>
      <t>个通道的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。例如</t>
    </r>
    <r>
      <rPr>
        <sz val="9"/>
        <rFont val="Arial"/>
        <family val="2"/>
      </rPr>
      <t>1x19Switch</t>
    </r>
    <r>
      <rPr>
        <sz val="9"/>
        <rFont val="宋体"/>
        <family val="3"/>
        <charset val="134"/>
      </rPr>
      <t>，具有</t>
    </r>
    <r>
      <rPr>
        <sz val="9"/>
        <rFont val="Arial"/>
        <family val="2"/>
      </rPr>
      <t>19</t>
    </r>
    <r>
      <rPr>
        <sz val="9"/>
        <rFont val="宋体"/>
        <family val="3"/>
        <charset val="134"/>
      </rPr>
      <t>个开关通道，那么定标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数据有</t>
    </r>
    <r>
      <rPr>
        <sz val="9"/>
        <rFont val="Arial"/>
        <family val="2"/>
      </rPr>
      <t>19</t>
    </r>
    <r>
      <rPr>
        <sz val="9"/>
        <rFont val="宋体"/>
        <family val="3"/>
        <charset val="134"/>
      </rPr>
      <t>组，剩余的</t>
    </r>
    <r>
      <rPr>
        <sz val="9"/>
        <rFont val="Arial"/>
        <family val="2"/>
      </rPr>
      <t>17</t>
    </r>
    <r>
      <rPr>
        <sz val="9"/>
        <rFont val="宋体"/>
        <family val="3"/>
        <charset val="134"/>
      </rPr>
      <t>组数据空间填写数值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</si>
  <si>
    <t>sDACy</t>
    <phoneticPr fontId="4" type="noConversion"/>
  </si>
  <si>
    <t>stMidDAC[25]</t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</si>
  <si>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个中转点的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。例如</t>
    </r>
    <r>
      <rPr>
        <sz val="9"/>
        <rFont val="Arial"/>
        <family val="2"/>
      </rPr>
      <t>1x19Switch</t>
    </r>
    <r>
      <rPr>
        <sz val="9"/>
        <rFont val="宋体"/>
        <family val="3"/>
        <charset val="134"/>
      </rPr>
      <t>，具有</t>
    </r>
    <r>
      <rPr>
        <sz val="9"/>
        <rFont val="Arial"/>
        <family val="2"/>
      </rPr>
      <t>12</t>
    </r>
    <r>
      <rPr>
        <sz val="9"/>
        <rFont val="宋体"/>
        <family val="3"/>
        <charset val="134"/>
      </rPr>
      <t>个中转点，那么定标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数据有</t>
    </r>
    <r>
      <rPr>
        <sz val="9"/>
        <rFont val="Arial"/>
        <family val="2"/>
      </rPr>
      <t>12</t>
    </r>
    <r>
      <rPr>
        <sz val="9"/>
        <rFont val="宋体"/>
        <family val="3"/>
        <charset val="134"/>
      </rPr>
      <t>组，剩余的</t>
    </r>
    <r>
      <rPr>
        <sz val="9"/>
        <rFont val="Arial"/>
        <family val="2"/>
      </rPr>
      <t>13</t>
    </r>
    <r>
      <rPr>
        <sz val="9"/>
        <rFont val="宋体"/>
        <family val="3"/>
        <charset val="134"/>
      </rPr>
      <t>组数据空间填写数值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。注意，如果没有中转点，那么这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组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定标数据内容填写数值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</si>
  <si>
    <r>
      <rPr>
        <sz val="9"/>
        <color rgb="FF000000"/>
        <rFont val="宋体"/>
        <family val="3"/>
        <charset val="134"/>
      </rPr>
      <t>常温定标数据</t>
    </r>
    <phoneticPr fontId="3" type="noConversion"/>
  </si>
  <si>
    <r>
      <t>如果室温定标数据有效，填写</t>
    </r>
    <r>
      <rPr>
        <sz val="9"/>
        <rFont val="Arial"/>
        <family val="2"/>
      </rPr>
      <t>0x01</t>
    </r>
    <r>
      <rPr>
        <sz val="9"/>
        <rFont val="宋体"/>
        <family val="3"/>
        <charset val="134"/>
      </rPr>
      <t>，否则填写数值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</si>
  <si>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36</t>
    </r>
    <r>
      <rPr>
        <sz val="9"/>
        <rFont val="宋体"/>
        <family val="3"/>
        <charset val="134"/>
      </rPr>
      <t>个通道的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 xml:space="preserve">。举例如低温的通道定标数据说明。
</t>
    </r>
    <r>
      <rPr>
        <b/>
        <sz val="9"/>
        <rFont val="宋体"/>
        <family val="3"/>
        <charset val="134"/>
      </rPr>
      <t>请注意：如果室温定标数据缺失，</t>
    </r>
    <r>
      <rPr>
        <b/>
        <sz val="9"/>
        <rFont val="Arial"/>
        <family val="2"/>
      </rPr>
      <t>FW</t>
    </r>
    <r>
      <rPr>
        <b/>
        <sz val="9"/>
        <rFont val="宋体"/>
        <family val="3"/>
        <charset val="134"/>
      </rPr>
      <t>程序就会产生</t>
    </r>
    <r>
      <rPr>
        <b/>
        <sz val="9"/>
        <rFont val="Arial"/>
        <family val="2"/>
      </rPr>
      <t>Switch</t>
    </r>
    <r>
      <rPr>
        <b/>
        <sz val="9"/>
        <rFont val="宋体"/>
        <family val="3"/>
        <charset val="134"/>
      </rPr>
      <t>定标</t>
    </r>
    <r>
      <rPr>
        <b/>
        <sz val="9"/>
        <rFont val="Arial"/>
        <family val="2"/>
      </rPr>
      <t>LUT</t>
    </r>
    <r>
      <rPr>
        <b/>
        <sz val="9"/>
        <rFont val="宋体"/>
        <family val="3"/>
        <charset val="134"/>
      </rPr>
      <t>数据表报警，将不会切换开关通道。</t>
    </r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</si>
  <si>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个中转点的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。注意，如果没有中转点，那么这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组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定标数据内容填写数值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。请阅读低温中转点定标数据的举例说明。</t>
    </r>
    <phoneticPr fontId="4" type="noConversion"/>
  </si>
  <si>
    <r>
      <rPr>
        <sz val="9"/>
        <color rgb="FF000000"/>
        <rFont val="宋体"/>
        <family val="3"/>
        <charset val="134"/>
      </rPr>
      <t>高温定标数据</t>
    </r>
    <phoneticPr fontId="3" type="noConversion"/>
  </si>
  <si>
    <r>
      <rPr>
        <sz val="9"/>
        <rFont val="宋体"/>
        <family val="3"/>
        <charset val="134"/>
      </rPr>
      <t>如果高温定标数据有效，填写</t>
    </r>
    <r>
      <rPr>
        <sz val="9"/>
        <rFont val="Arial"/>
        <family val="2"/>
      </rPr>
      <t>0x01</t>
    </r>
    <r>
      <rPr>
        <sz val="9"/>
        <rFont val="宋体"/>
        <family val="3"/>
        <charset val="134"/>
      </rPr>
      <t>，否则填写数值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</si>
  <si>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36</t>
    </r>
    <r>
      <rPr>
        <sz val="9"/>
        <rFont val="宋体"/>
        <family val="3"/>
        <charset val="134"/>
      </rPr>
      <t>个通道的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。举例如低温的通道定标数据说明。</t>
    </r>
    <phoneticPr fontId="4" type="noConversion"/>
  </si>
  <si>
    <t>预留一个温度定标数据区</t>
    <phoneticPr fontId="3" type="noConversion"/>
  </si>
  <si>
    <r>
      <rPr>
        <sz val="9"/>
        <rFont val="宋体"/>
        <family val="3"/>
        <charset val="134"/>
      </rPr>
      <t>如果定标数据有效，填写</t>
    </r>
    <r>
      <rPr>
        <sz val="9"/>
        <rFont val="Arial"/>
        <family val="2"/>
      </rPr>
      <t>0x01</t>
    </r>
    <r>
      <rPr>
        <sz val="9"/>
        <rFont val="宋体"/>
        <family val="3"/>
        <charset val="134"/>
      </rPr>
      <t>，否则填写数值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</si>
  <si>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t>61</t>
    </r>
    <r>
      <rPr>
        <sz val="9"/>
        <rFont val="宋体"/>
        <family val="3"/>
        <charset val="134"/>
      </rPr>
      <t>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轴、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。如果不使用，填写数值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</si>
  <si>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r>
      <rPr>
        <sz val="9"/>
        <rFont val="宋体"/>
        <family val="3"/>
        <charset val="134"/>
      </rPr>
      <t>最多</t>
    </r>
    <r>
      <rPr>
        <sz val="9"/>
        <rFont val="Arial"/>
        <family val="2"/>
      </rPr>
      <t>25</t>
    </r>
    <r>
      <rPr>
        <sz val="9"/>
        <rFont val="宋体"/>
        <family val="3"/>
        <charset val="134"/>
      </rPr>
      <t>个中转点的</t>
    </r>
    <r>
      <rPr>
        <sz val="9"/>
        <rFont val="Arial"/>
        <family val="2"/>
      </rPr>
      <t>X</t>
    </r>
    <r>
      <rPr>
        <sz val="9"/>
        <rFont val="宋体"/>
        <family val="3"/>
        <charset val="134"/>
      </rPr>
      <t>、</t>
    </r>
    <r>
      <rPr>
        <sz val="9"/>
        <rFont val="Arial"/>
        <family val="2"/>
      </rPr>
      <t>Y</t>
    </r>
    <r>
      <rPr>
        <sz val="9"/>
        <rFont val="宋体"/>
        <family val="3"/>
        <charset val="134"/>
      </rPr>
      <t>轴定标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值，</t>
    </r>
    <r>
      <rPr>
        <sz val="9"/>
        <rFont val="Arial"/>
        <family val="2"/>
      </rPr>
      <t>DAC</t>
    </r>
    <r>
      <rPr>
        <sz val="9"/>
        <rFont val="宋体"/>
        <family val="3"/>
        <charset val="134"/>
      </rPr>
      <t>值范围</t>
    </r>
    <r>
      <rPr>
        <sz val="9"/>
        <rFont val="Arial"/>
        <family val="2"/>
      </rPr>
      <t>-4095 ~ +4095</t>
    </r>
    <r>
      <rPr>
        <sz val="9"/>
        <rFont val="宋体"/>
        <family val="3"/>
        <charset val="134"/>
      </rPr>
      <t>。如果不使用，填写数值</t>
    </r>
    <r>
      <rPr>
        <sz val="9"/>
        <rFont val="Arial"/>
        <family val="2"/>
      </rPr>
      <t>0</t>
    </r>
    <r>
      <rPr>
        <sz val="9"/>
        <rFont val="宋体"/>
        <family val="3"/>
        <charset val="134"/>
      </rPr>
      <t>。</t>
    </r>
    <phoneticPr fontId="4" type="noConversion"/>
  </si>
  <si>
    <t>bMemsSwSN[16]</t>
  </si>
  <si>
    <t>填写对应本定标数据表的MEMS switch SN</t>
  </si>
  <si>
    <t>bCaliDate[12]</t>
  </si>
  <si>
    <t>定标数据表的生成时间，例如"201707250823"，表示2017-07-25 08:23</t>
  </si>
  <si>
    <r>
      <t>CRC32</t>
    </r>
    <r>
      <rPr>
        <sz val="9"/>
        <color theme="1"/>
        <rFont val="宋体"/>
        <family val="3"/>
        <charset val="134"/>
      </rPr>
      <t>计算范围是前</t>
    </r>
    <r>
      <rPr>
        <sz val="9"/>
        <color theme="1"/>
        <rFont val="Arial"/>
        <family val="2"/>
      </rPr>
      <t>2044</t>
    </r>
    <r>
      <rPr>
        <sz val="9"/>
        <color theme="1"/>
        <rFont val="宋体"/>
        <family val="3"/>
        <charset val="134"/>
      </rPr>
      <t>个字节。</t>
    </r>
    <phoneticPr fontId="4" type="noConversion"/>
  </si>
  <si>
    <t>请注意：表格中的双字节与四字节数据类型采用小端存储方式。</t>
    <phoneticPr fontId="4" type="noConversion"/>
  </si>
  <si>
    <t>Customer Command and Response Definition</t>
  </si>
  <si>
    <t>Command</t>
  </si>
  <si>
    <t>Response</t>
  </si>
  <si>
    <t>Description</t>
  </si>
  <si>
    <t>Msg ID</t>
  </si>
  <si>
    <t>Payload Length</t>
  </si>
  <si>
    <t>Payload</t>
  </si>
  <si>
    <t>Set Channel</t>
  </si>
  <si>
    <t>0x01</t>
  </si>
  <si>
    <t>CH1</t>
  </si>
  <si>
    <t>Get Channel</t>
  </si>
  <si>
    <t>0x02</t>
  </si>
  <si>
    <t>0x00 or 0x01</t>
  </si>
  <si>
    <t>Get Alarm</t>
  </si>
  <si>
    <t>0x03</t>
  </si>
  <si>
    <t>Alarm status (1 byte)</t>
  </si>
  <si>
    <t>Start FW download</t>
  </si>
  <si>
    <t>0x04</t>
  </si>
  <si>
    <t>FW data download</t>
  </si>
  <si>
    <t>0x05</t>
  </si>
  <si>
    <t>0x20</t>
  </si>
  <si>
    <t>Data</t>
  </si>
  <si>
    <t>FW commit</t>
  </si>
  <si>
    <t>0x06</t>
  </si>
  <si>
    <t>Software reset2</t>
  </si>
  <si>
    <t>0x07</t>
  </si>
  <si>
    <t>Get Module Info</t>
  </si>
  <si>
    <t>0x08</t>
  </si>
  <si>
    <t>n</t>
  </si>
  <si>
    <t>ASCII string</t>
  </si>
  <si>
    <t>MFG command</t>
  </si>
  <si>
    <t>0x10</t>
  </si>
  <si>
    <t xml:space="preserve">              See Following Table</t>
  </si>
  <si>
    <t>See Following Table</t>
  </si>
  <si>
    <t>Object IDs of MFG commands, Msg ID is 0x10</t>
  </si>
  <si>
    <t>ObjID</t>
  </si>
  <si>
    <t>Object Name</t>
  </si>
  <si>
    <t>Instance</t>
  </si>
  <si>
    <t>Parameter</t>
  </si>
  <si>
    <t>Access</t>
  </si>
  <si>
    <t>Size</t>
  </si>
  <si>
    <t>Privilege</t>
  </si>
  <si>
    <t>(Bytes)</t>
  </si>
  <si>
    <t>Manufacturer ID</t>
  </si>
  <si>
    <t>R</t>
  </si>
  <si>
    <t>Identification of manufacturer. 0x0001: Oplink</t>
  </si>
  <si>
    <t>HW Version</t>
  </si>
  <si>
    <r>
      <t>X.Y, X - 1</t>
    </r>
    <r>
      <rPr>
        <vertAlign val="superscript"/>
        <sz val="10.5"/>
        <color theme="1"/>
        <rFont val="Arial"/>
        <family val="2"/>
      </rPr>
      <t>st</t>
    </r>
    <r>
      <rPr>
        <sz val="10.5"/>
        <color theme="1"/>
        <rFont val="Arial"/>
        <family val="2"/>
      </rPr>
      <t xml:space="preserve">  byte, Y – 2</t>
    </r>
    <r>
      <rPr>
        <vertAlign val="superscript"/>
        <sz val="10.5"/>
        <color theme="1"/>
        <rFont val="Arial"/>
        <family val="2"/>
      </rPr>
      <t>nd</t>
    </r>
    <r>
      <rPr>
        <sz val="10.5"/>
        <color theme="1"/>
        <rFont val="Arial"/>
        <family val="2"/>
      </rPr>
      <t xml:space="preserve"> byte</t>
    </r>
  </si>
  <si>
    <t>FW Version</t>
  </si>
  <si>
    <r>
      <t>X.Y, X - 1</t>
    </r>
    <r>
      <rPr>
        <vertAlign val="superscript"/>
        <sz val="10.5"/>
        <color theme="1"/>
        <rFont val="Arial"/>
        <family val="2"/>
      </rPr>
      <t>st</t>
    </r>
    <r>
      <rPr>
        <sz val="10.5"/>
        <color theme="1"/>
        <rFont val="Arial"/>
        <family val="2"/>
      </rPr>
      <t xml:space="preserve"> byte, Y – 2</t>
    </r>
    <r>
      <rPr>
        <vertAlign val="superscript"/>
        <sz val="10.5"/>
        <color theme="1"/>
        <rFont val="Arial"/>
        <family val="2"/>
      </rPr>
      <t>nd</t>
    </r>
    <r>
      <rPr>
        <sz val="10.5"/>
        <color theme="1"/>
        <rFont val="Arial"/>
        <family val="2"/>
      </rPr>
      <t xml:space="preserve"> byte</t>
    </r>
  </si>
  <si>
    <t>Serial Number</t>
  </si>
  <si>
    <t>Serial number of this module can be any combination of alphanumerical characters.</t>
  </si>
  <si>
    <t>Part Number</t>
  </si>
  <si>
    <t>Part number of this module can be any combination of alphanumerical characters.</t>
  </si>
  <si>
    <t>Manufacturing Date</t>
  </si>
  <si>
    <t>YYYY-MM-DD</t>
  </si>
  <si>
    <t>YYYY – 1st and 2nd bytes</t>
  </si>
  <si>
    <t>MM - 3rd byte, DD - 4th  byte</t>
  </si>
  <si>
    <t>Calibration Date</t>
  </si>
  <si>
    <t>Switch Type</t>
  </si>
  <si>
    <t>0x02 – 1x2 Switch</t>
    <phoneticPr fontId="4" type="noConversion"/>
  </si>
  <si>
    <t>0x04 – 1x4 Switch</t>
    <phoneticPr fontId="4" type="noConversion"/>
  </si>
  <si>
    <t>…</t>
  </si>
  <si>
    <t>0x40 – 1x64 Switch</t>
  </si>
  <si>
    <t>0x09-0x2F</t>
  </si>
  <si>
    <t>Reserved</t>
  </si>
  <si>
    <t>Reserved for manufacturing information</t>
  </si>
  <si>
    <t>0x30</t>
  </si>
  <si>
    <t>Monitor voltage and  ADC</t>
  </si>
  <si>
    <t>1~8
1, 3.3V
2, 5V
3, 50V_1
4, 50V_2
5, Sw1 Vx
6, Sw2 Vx
7, Sw3 Vx
8, Sw4 Vx</t>
  </si>
  <si>
    <t>The reply format as &lt;Vol_H&gt;&lt;Vol_L&gt;&lt;ADC_H&gt;&lt;ADC_L&gt;. ADC range is 0~65535.</t>
    <phoneticPr fontId="4" type="noConversion"/>
  </si>
  <si>
    <t>0x31</t>
  </si>
  <si>
    <t xml:space="preserve">Module inside temperature </t>
  </si>
  <si>
    <t>The reply format as &lt;Tempt_H&gt;&lt;Tempt_L&gt;, unit is Celsius.</t>
  </si>
  <si>
    <t>0x32</t>
  </si>
  <si>
    <t>Module inside temperature ADC</t>
  </si>
  <si>
    <t>The replay format as &lt;ADC_H&gt;&lt;ADC_L&gt;, ADC range is 0~65535.</t>
  </si>
  <si>
    <t>0x33</t>
  </si>
  <si>
    <t>Oplink internal Firmware version</t>
  </si>
  <si>
    <t>The reply format such as “1.0.0.0”.</t>
  </si>
  <si>
    <t>0x34</t>
  </si>
  <si>
    <t>Memory address</t>
  </si>
  <si>
    <t>Get current recorded memory address</t>
  </si>
  <si>
    <t>R/W</t>
  </si>
  <si>
    <t>Get or set memory address</t>
  </si>
  <si>
    <t>0x35</t>
  </si>
  <si>
    <t>Get 32 bytes data from 0x34 memory address</t>
  </si>
  <si>
    <t>Object ID 0x34 and 0x35 commands should be partner to get memory’s data.</t>
  </si>
  <si>
    <t>0x36</t>
  </si>
  <si>
    <t>MemosSwitch control DAC of X Y axis.</t>
  </si>
  <si>
    <t>1~4</t>
  </si>
  <si>
    <t>The X Y axis DAC from AD5504 input register ,and the reply format as &lt;DACx_H&gt;&lt;DACx_L&gt;&lt;DACy_H&gt;&lt;DACy_L&gt;. DAC range is -4095 ~ 4095.</t>
  </si>
  <si>
    <t>Get X Y axis DAC settings, the reply format as &lt;DACx_H&gt;&lt;DACx_L&gt;&lt;DACy_H&gt;&lt;DACy_L&gt;. DAC range is -4095 ~ 4095.</t>
  </si>
  <si>
    <t>W</t>
  </si>
  <si>
    <t>Set X Y axis DAC, the settings format is &lt;“MFG_CMD” &gt;&lt;CMDType&gt;&lt; X axis DAC&gt;&lt;Y axis DAC&gt;, for example, set X axis DAC to be 1024, set Y axis DAC to be -2048, the 12 bytes are 0x4D 0x46 0x47 0x5F 0x43 0x4D 0x44 0x41 0x04 0x00 0xF8 0x00.</t>
  </si>
  <si>
    <t>DAC range is -4095 ~ 4095.</t>
  </si>
  <si>
    <t>&lt;CMDType&gt; definition as follows:</t>
  </si>
  <si>
    <t>‘X’ – Just set X axis DAC</t>
  </si>
  <si>
    <t>‘Y’ – Just set Y axis DAC</t>
  </si>
  <si>
    <t>‘A’ – Set X Y axis DAC</t>
  </si>
  <si>
    <t>0x37</t>
  </si>
  <si>
    <t>Read AD5504 register content</t>
  </si>
  <si>
    <t>Get AD5504 register content according to register index setting, the reply format as &lt;RegVal_H&gt;&lt;RegVal_L&gt;.</t>
  </si>
  <si>
    <t>Get current AD5504 register index setting, and the reply format as  &lt;IDX_H&gt;&lt;IDX_L&gt;.</t>
  </si>
  <si>
    <t>Set AD5504 register index for read register content, the format as &lt;IDX_H&gt;&lt;IDX_L&gt;.</t>
  </si>
  <si>
    <t>The register index definition as follows:</t>
  </si>
  <si>
    <t>0x1000 – DAC A input register</t>
  </si>
  <si>
    <t>0x2000 – DAC B input register</t>
  </si>
  <si>
    <t>0x3000 – DAC C input register</t>
  </si>
  <si>
    <t>0x4000 – DAC D input register</t>
  </si>
  <si>
    <t>0x7000 – Control register</t>
  </si>
  <si>
    <t>0x38</t>
  </si>
  <si>
    <t>MemosSwitch scan start</t>
  </si>
  <si>
    <t>Get scan status, the reply format as &lt;ScanStatus&gt;.</t>
  </si>
  <si>
    <t>0x00 – No scan</t>
  </si>
  <si>
    <t>0x01 – Scan is ongoing</t>
  </si>
  <si>
    <r>
      <t xml:space="preserve">Get last time scan settings, the reply format as </t>
    </r>
    <r>
      <rPr>
        <sz val="10.5"/>
        <color rgb="FF000000"/>
        <rFont val="Arial"/>
        <family val="2"/>
      </rPr>
      <t>&lt;Dxmin_H&gt;&lt;Dxmin_L&gt;&lt;Dxmax_H&gt;&lt;Dxmax_L&gt;&lt;Dymin_H&gt;&lt;Dymin_L&gt;&lt;Dymax_H&gt;&lt;Dymax_L&gt;&lt;ScanStep_H&gt;&lt;ScanStep_L&gt;</t>
    </r>
  </si>
  <si>
    <r>
      <t>Set scan start, the data format as &lt;“MFG_CMD”&gt;</t>
    </r>
    <r>
      <rPr>
        <sz val="10.5"/>
        <color rgb="FF000000"/>
        <rFont val="Arial"/>
        <family val="2"/>
      </rPr>
      <t>&lt;Dxmin_H&gt;&lt;Dxmin_L&gt;&lt;Dxmax_H&gt;&lt;Dxmax_L&gt;&lt;Dymin_H&gt;&lt;Dymin_L&gt;&lt;Dymax_H&gt;&lt;Dymax_L&gt;&lt;ScanStep_H&gt;&lt;ScanStep_L&gt;.</t>
    </r>
  </si>
  <si>
    <t>Dxmin – Scan X Axis min DAC value</t>
  </si>
  <si>
    <t>Dxmax – Scan X Axis max DAC value</t>
  </si>
  <si>
    <t>Dymin – Scan Y Axis min DAC value</t>
  </si>
  <si>
    <t>Dymax – Scan Y Axis max DAC value</t>
  </si>
  <si>
    <t>ScanStep – Scan Step number</t>
  </si>
  <si>
    <t>0x39</t>
  </si>
  <si>
    <t>MemosSwitch hitless test</t>
  </si>
  <si>
    <t>1~5
1~4, Single Switch,
5, 1x64 port</t>
  </si>
  <si>
    <t>Get hitless test status, the reply format as &lt;HitlessTestStatus&gt;.</t>
  </si>
  <si>
    <t>0x00 – No hitless test</t>
  </si>
  <si>
    <t>0x01 – Hitless test is ongoing</t>
  </si>
  <si>
    <r>
      <t xml:space="preserve">Get last time hitless test settings, the reply format as </t>
    </r>
    <r>
      <rPr>
        <sz val="10.5"/>
        <color rgb="FF000000"/>
        <rFont val="Arial"/>
        <family val="2"/>
      </rPr>
      <t>&lt;MaxCh&gt;&lt;TimeVal_4&gt;&lt;TimeVal_3&gt;&lt;TimeVal_2&gt;&lt;TimeVal_1&gt;.</t>
    </r>
  </si>
  <si>
    <r>
      <t>Set hitless test start, the data format is &lt;“MFG_CMD”&gt;</t>
    </r>
    <r>
      <rPr>
        <sz val="10.5"/>
        <color rgb="FF000000"/>
        <rFont val="Arial"/>
        <family val="2"/>
      </rPr>
      <t>&lt;MaxCh&gt;&lt;TimeVal_4&gt;&lt;TimeVal_3&gt;&lt;TimeVal_2&gt;&lt;TimeVal_1&gt;.</t>
    </r>
  </si>
  <si>
    <t>MaxCh – Switch hitless test max channel</t>
  </si>
  <si>
    <t>TimeVal – DWORD, time unit is us.</t>
  </si>
  <si>
    <t>0x3A</t>
  </si>
  <si>
    <t>LUT verify status</t>
  </si>
  <si>
    <t>Get LUT CRC32 verify status, the replay format as &lt;State_H&gt;&lt;State_L&gt;</t>
  </si>
  <si>
    <t>0x0001 – MFG info LUT verify error</t>
  </si>
  <si>
    <t>0x0002 – Switch1 Calibration LUT verify error</t>
  </si>
  <si>
    <t>0x0004 – Switch2 Calibration LUT verify error</t>
  </si>
  <si>
    <t>0x0008 – Switch3 Calibration LUT verify error</t>
  </si>
  <si>
    <t>0x0010 – Switch4 Calibration LUT verify error</t>
  </si>
  <si>
    <t>0x4000 – 64 Ports and 4 Switches Ch Mapping LUT verify error</t>
  </si>
  <si>
    <t>0x8000 – Switch Optical Ch and Physical Mapping LUT verify error</t>
  </si>
  <si>
    <t>0x3B</t>
  </si>
  <si>
    <t>Switch reliable test</t>
  </si>
  <si>
    <t>Switch counts, the reply format as &lt;Cnt_4&gt;&lt;Cnt_3&gt;&lt;Cnt_2&gt;&lt;Cnt_1&gt;</t>
  </si>
  <si>
    <t>Reliable test status, the reply format as &lt;TestStatus&gt;</t>
  </si>
  <si>
    <t>Start switch reliable test, the data format as &lt;TestStart&gt;.</t>
  </si>
  <si>
    <t>0x01 – Start test</t>
  </si>
  <si>
    <t>0x3C-0x7F</t>
  </si>
  <si>
    <t>0x80</t>
  </si>
  <si>
    <t>Switch channel</t>
  </si>
  <si>
    <t>Get switch current channel</t>
  </si>
  <si>
    <t>Switch channel setting.
0 -- Switch will be block state.
1 -- Channel 1
2 -- Channel 2
. . .</t>
    <phoneticPr fontId="4" type="noConversion"/>
  </si>
  <si>
    <t>0x82-0xFF</t>
  </si>
  <si>
    <t xml:space="preserve">Reserved for Command </t>
  </si>
  <si>
    <t>一、I2C数据透传指令</t>
  </si>
  <si>
    <t>I2CWRITE argu1</t>
  </si>
  <si>
    <t>I2C数据透传写指令，argu1参数包含I2C_Addr + Write_Data</t>
  </si>
  <si>
    <t>I2CREAD argu1</t>
  </si>
  <si>
    <t>I2C数据透传读指令，argu1参数包含I2C_Addr + Get_Data_Length</t>
  </si>
  <si>
    <t>二、测试板封装指令</t>
  </si>
  <si>
    <t>SPRT argu1</t>
  </si>
  <si>
    <t>设置1x64通道指令</t>
  </si>
  <si>
    <t>argu1 -- port index, 0~64, 0 -- Darkpoint, 1~64 normal channel</t>
  </si>
  <si>
    <t>GPRT</t>
  </si>
  <si>
    <t>Get 1x64 current port</t>
  </si>
  <si>
    <t>GALM</t>
    <phoneticPr fontId="30" type="noConversion"/>
  </si>
  <si>
    <t>Get alarm status</t>
  </si>
  <si>
    <t>RSET</t>
    <phoneticPr fontId="30" type="noConversion"/>
  </si>
  <si>
    <t>对Swtich模块进行软复位</t>
  </si>
  <si>
    <t>INFO</t>
    <phoneticPr fontId="30" type="noConversion"/>
  </si>
  <si>
    <t>读取产品信息</t>
  </si>
  <si>
    <t>VER</t>
    <phoneticPr fontId="30" type="noConversion"/>
  </si>
  <si>
    <t>返回Tester Firmware版本</t>
    <phoneticPr fontId="30" type="noConversion"/>
  </si>
  <si>
    <t>OPLK</t>
    <phoneticPr fontId="30" type="noConversion"/>
  </si>
  <si>
    <t>读取产品内部Firmware版本</t>
    <phoneticPr fontId="30" type="noConversion"/>
  </si>
  <si>
    <t>GLUTALM</t>
  </si>
  <si>
    <t>获取MFG信息、开关定标LUT表和通道配置表等定标LUT表的CRC校验状态</t>
  </si>
  <si>
    <t>GREADY</t>
  </si>
  <si>
    <t>Get Ready pin level, 0 -- Low level, 1 -- High level.</t>
  </si>
  <si>
    <t>SWCH argu1 argu2</t>
    <phoneticPr fontId="30" type="noConversion"/>
  </si>
  <si>
    <t>设置单个开关通道，指令参数定义如下：</t>
  </si>
  <si>
    <t>argu1 -- switch index, 1~4</t>
  </si>
  <si>
    <t>argu2 -- switch channel index</t>
  </si>
  <si>
    <t>SWCH argu1</t>
  </si>
  <si>
    <t>获取单个MEMS Switch当前通道</t>
  </si>
  <si>
    <t>MEM argu1</t>
    <phoneticPr fontId="30" type="noConversion"/>
  </si>
  <si>
    <t>读取MCU Memory data, 返回32个字节十六进制数据</t>
    <phoneticPr fontId="30" type="noConversion"/>
  </si>
  <si>
    <t>argu1 -- memory address, 十进制数</t>
    <phoneticPr fontId="30" type="noConversion"/>
  </si>
  <si>
    <t>GTMP</t>
    <phoneticPr fontId="30" type="noConversion"/>
  </si>
  <si>
    <t>读取产品内部监控温度，单位是0.01 C</t>
    <phoneticPr fontId="30" type="noConversion"/>
  </si>
  <si>
    <t>GTMPADC</t>
    <phoneticPr fontId="30" type="noConversion"/>
  </si>
  <si>
    <t>获取产品内部监控温度ADC</t>
    <phoneticPr fontId="30" type="noConversion"/>
  </si>
  <si>
    <t>GVOLADC</t>
  </si>
  <si>
    <t>获取8种监控电压和ADC</t>
  </si>
  <si>
    <t xml:space="preserve">1 -- 3.3V, 2 -- 5V, 3 -- 50V_1, 4 -- 50V_2, 5 -- Switch1 Vx, 6 -- Switch2 Vx, 7 -- Switch3 Vx, 8 -- Switch4 Vx </t>
  </si>
  <si>
    <t>SETX argu1 argu2</t>
  </si>
  <si>
    <t>设置X轴DAC，DAC范围是-4095 ~ 4095</t>
    <phoneticPr fontId="30" type="noConversion"/>
  </si>
  <si>
    <t>argu2 -- DAC range is -4095 ~ 4095</t>
  </si>
  <si>
    <t>SETY argu1 argu2</t>
  </si>
  <si>
    <t>设置Y轴DAC，DAC范围是-4095 ~ 4095</t>
    <phoneticPr fontId="30" type="noConversion"/>
  </si>
  <si>
    <t>SETXY argu1 argu2 argu3</t>
  </si>
  <si>
    <t>设置X和Y轴DAC，DAC范围是-4095 ~ 4095</t>
    <phoneticPr fontId="30" type="noConversion"/>
  </si>
  <si>
    <t>argu2 -- X axis DAC</t>
  </si>
  <si>
    <t>argu3 -- Y axis DAC</t>
  </si>
  <si>
    <t>GDAC argu1</t>
  </si>
  <si>
    <t>获取X和Y轴DAC设置值</t>
  </si>
  <si>
    <t>GAD5504REG argu1</t>
  </si>
  <si>
    <t>读取AD5504内部寄存器数值，有5中寄存器，分别是</t>
    <phoneticPr fontId="30" type="noConversion"/>
  </si>
  <si>
    <t xml:space="preserve">0 -- Channel A register, </t>
    <phoneticPr fontId="30" type="noConversion"/>
  </si>
  <si>
    <t xml:space="preserve">1 -- Channel B register, </t>
    <phoneticPr fontId="30" type="noConversion"/>
  </si>
  <si>
    <t>2 -- Channel C register,</t>
    <phoneticPr fontId="30" type="noConversion"/>
  </si>
  <si>
    <t>3 -- Channel D register</t>
    <phoneticPr fontId="30" type="noConversion"/>
  </si>
  <si>
    <t>4 -- Control register</t>
    <phoneticPr fontId="30" type="noConversion"/>
  </si>
  <si>
    <t>SCAN argu1 arug2 argu3 argu4 argu5 argu6</t>
  </si>
  <si>
    <t>扫描指令总共有六个设置参数，分别定义如下：</t>
    <phoneticPr fontId="30" type="noConversion"/>
  </si>
  <si>
    <t>argu2 -- X axis min DAC, range is -4095 ~ 4095</t>
  </si>
  <si>
    <t>argu3 -- X axis max DAC</t>
  </si>
  <si>
    <t>argu4 -- Y axis min DAC</t>
  </si>
  <si>
    <t>argu5 -- Y axis max DAC</t>
  </si>
  <si>
    <t>argu6 -- Scan step, range is 1 ~ 4095</t>
  </si>
  <si>
    <t>SCAN argu1</t>
  </si>
  <si>
    <t>回读当前扫描状态，如果返回0，表示没有扫描；如果返回1，表示扫描正在进行。</t>
    <phoneticPr fontId="30" type="noConversion"/>
  </si>
  <si>
    <t>HLTS argu1 argu2 argu3</t>
  </si>
  <si>
    <t>设置相互通道之间的Hitless test，指令参数定义如下：</t>
    <phoneticPr fontId="30" type="noConversion"/>
  </si>
  <si>
    <t>argu2 -- hitless test max channel</t>
  </si>
  <si>
    <t>argu3 -- hitless test switching interval, unit is us, range is 0~3000000000</t>
  </si>
  <si>
    <t>HLTS argu1</t>
  </si>
  <si>
    <t>回读当前Hitless test状态，如果返回0，表示Hitless test；如果返回1，表示Hitless test正在进行。</t>
    <phoneticPr fontId="30" type="noConversion"/>
  </si>
  <si>
    <t>RESET</t>
    <phoneticPr fontId="30" type="noConversion"/>
  </si>
  <si>
    <t>对Tester进行软复位</t>
    <phoneticPr fontId="30" type="noConversion"/>
  </si>
  <si>
    <t>RSTI2C</t>
    <phoneticPr fontId="30" type="noConversion"/>
  </si>
  <si>
    <t>对Tester I2C总线进行复位</t>
    <phoneticPr fontId="30" type="noConversion"/>
  </si>
  <si>
    <t>FWDL</t>
    <phoneticPr fontId="30" type="noConversion"/>
  </si>
  <si>
    <t>Xmodem升级指令，该指令可以升级Tester程序和产品程序。</t>
    <phoneticPr fontId="30" type="noConversion"/>
  </si>
  <si>
    <t>PINRST argu1</t>
  </si>
  <si>
    <t>argu1 -- Reset pulse width, unit is us</t>
  </si>
  <si>
    <t>ASWTH argu1 argu2 arge3 argu4</t>
  </si>
  <si>
    <t>argu2 -- 开关通道切换时间间隔，单位是ms，最大值是1000，如果数值为0，开关切换时间间隔最小</t>
  </si>
  <si>
    <t>argu3 -- 重复切换开关次数</t>
  </si>
  <si>
    <t>argu4 -- 最大开关通道数，请填写1~N，N最大值是255</t>
  </si>
  <si>
    <t>ASWTH</t>
  </si>
  <si>
    <t>查询自动切换完成状态，1表示自动切换正在进行，0表示没有自动切换事件。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</si>
</sst>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Arial"/>
      <family val="2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Arial"/>
      <family val="2"/>
    </font>
    <font>
      <sz val="9"/>
      <color rgb="FF000000"/>
      <name val="宋体"/>
      <family val="3"/>
      <charset val="134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theme="1"/>
      <name val="宋体"/>
      <family val="3"/>
      <charset val="134"/>
    </font>
    <font>
      <sz val="9"/>
      <name val="Arial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Arial"/>
      <family val="2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Arial"/>
      <family val="2"/>
    </font>
    <font>
      <sz val="9"/>
      <color rgb="FF000000"/>
      <name val="Arial"/>
      <family val="3"/>
      <charset val="134"/>
    </font>
    <font>
      <sz val="10"/>
      <color theme="1"/>
      <name val="Arial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vertAlign val="superscript"/>
      <sz val="10.5"/>
      <color theme="1"/>
      <name val="Arial"/>
      <family val="2"/>
    </font>
    <font>
      <sz val="10.5"/>
      <color rgb="FF000000"/>
      <name val="Arial"/>
      <family val="2"/>
    </font>
    <font>
      <b/>
      <sz val="10"/>
      <color theme="1"/>
      <name val="Arial"/>
      <family val="3"/>
      <charset val="134"/>
    </font>
    <font>
      <sz val="9"/>
      <color theme="1"/>
      <name val="Arial"/>
      <family val="3"/>
      <charset val="134"/>
    </font>
    <font>
      <sz val="9"/>
      <name val="宋体"/>
      <family val="2"/>
      <scheme val="minor"/>
    </font>
    <font>
      <sz val="11"/>
      <color theme="1"/>
      <name val="Times New Roman"/>
      <family val="1"/>
    </font>
    <font>
      <sz val="9"/>
      <color rgb="FF000000"/>
      <name val="微软雅黑"/>
      <family val="2"/>
      <charset val="134"/>
    </font>
    <font>
      <sz val="9"/>
      <color theme="1"/>
      <name val="宋体"/>
      <family val="2"/>
    </font>
    <font>
      <sz val="9"/>
      <color rgb="FF000000"/>
      <name val="宋体"/>
      <family val="2"/>
      <charset val="134"/>
    </font>
    <font>
      <sz val="9"/>
      <color rgb="FF000000"/>
      <name val="Arial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rgb="FF00009C"/>
      </left>
      <right style="medium">
        <color rgb="FF00009C"/>
      </right>
      <top style="thick">
        <color rgb="FF00009C"/>
      </top>
      <bottom/>
      <diagonal/>
    </border>
    <border>
      <left style="thick">
        <color rgb="FF00009C"/>
      </left>
      <right style="medium">
        <color rgb="FF00009C"/>
      </right>
      <top/>
      <bottom style="thick">
        <color rgb="FF00009C"/>
      </bottom>
      <diagonal/>
    </border>
    <border>
      <left/>
      <right style="medium">
        <color rgb="FF00009C"/>
      </right>
      <top style="thick">
        <color rgb="FF00009C"/>
      </top>
      <bottom style="medium">
        <color rgb="FF00009C"/>
      </bottom>
      <diagonal/>
    </border>
    <border>
      <left/>
      <right/>
      <top style="thick">
        <color rgb="FF00009C"/>
      </top>
      <bottom style="medium">
        <color rgb="FF00009C"/>
      </bottom>
      <diagonal/>
    </border>
    <border>
      <left/>
      <right style="thick">
        <color rgb="FF00009C"/>
      </right>
      <top style="thick">
        <color rgb="FF00009C"/>
      </top>
      <bottom style="medium">
        <color rgb="FF00009C"/>
      </bottom>
      <diagonal/>
    </border>
    <border>
      <left/>
      <right style="medium">
        <color rgb="FF00009C"/>
      </right>
      <top/>
      <bottom style="thick">
        <color rgb="FF00009C"/>
      </bottom>
      <diagonal/>
    </border>
    <border>
      <left/>
      <right style="thick">
        <color rgb="FF00009C"/>
      </right>
      <top/>
      <bottom style="thick">
        <color rgb="FF00009C"/>
      </bottom>
      <diagonal/>
    </border>
    <border>
      <left style="medium">
        <color rgb="FF00009C"/>
      </left>
      <right/>
      <top style="thick">
        <color rgb="FF00009C"/>
      </top>
      <bottom style="medium">
        <color rgb="FF00009C"/>
      </bottom>
      <diagonal/>
    </border>
    <border>
      <left style="thick">
        <color rgb="FF00009C"/>
      </left>
      <right style="medium">
        <color rgb="FF00009C"/>
      </right>
      <top style="thick">
        <color rgb="FF00009C"/>
      </top>
      <bottom style="medium">
        <color rgb="FF00009C"/>
      </bottom>
      <diagonal/>
    </border>
    <border>
      <left style="thick">
        <color rgb="FF00009C"/>
      </left>
      <right style="medium">
        <color rgb="FF00009C"/>
      </right>
      <top/>
      <bottom style="medium">
        <color rgb="FF00009C"/>
      </bottom>
      <diagonal/>
    </border>
    <border>
      <left/>
      <right style="medium">
        <color rgb="FF00009C"/>
      </right>
      <top/>
      <bottom style="medium">
        <color rgb="FF00009C"/>
      </bottom>
      <diagonal/>
    </border>
    <border>
      <left/>
      <right style="thick">
        <color rgb="FF00009C"/>
      </right>
      <top/>
      <bottom style="medium">
        <color rgb="FF00009C"/>
      </bottom>
      <diagonal/>
    </border>
    <border>
      <left style="thick">
        <color rgb="FF00009C"/>
      </left>
      <right style="medium">
        <color rgb="FF00009C"/>
      </right>
      <top style="medium">
        <color rgb="FF00009C"/>
      </top>
      <bottom style="medium">
        <color rgb="FF00009C"/>
      </bottom>
      <diagonal/>
    </border>
    <border>
      <left/>
      <right style="medium">
        <color rgb="FF00009C"/>
      </right>
      <top style="medium">
        <color rgb="FF00009C"/>
      </top>
      <bottom style="medium">
        <color rgb="FF00009C"/>
      </bottom>
      <diagonal/>
    </border>
    <border>
      <left style="medium">
        <color rgb="FF00009C"/>
      </left>
      <right style="medium">
        <color rgb="FF00009C"/>
      </right>
      <top style="medium">
        <color rgb="FF00009C"/>
      </top>
      <bottom style="medium">
        <color rgb="FF00009C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2" fillId="0" borderId="0">
      <alignment vertical="center"/>
    </xf>
  </cellStyleXfs>
  <cellXfs count="16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49" fontId="14" fillId="0" borderId="1" xfId="0" applyNumberFormat="1" applyFont="1" applyBorder="1" applyAlignment="1" applyProtection="1">
      <alignment horizontal="left" vertical="center" wrapText="1"/>
      <protection locked="0"/>
    </xf>
    <xf numFmtId="0" fontId="15" fillId="0" borderId="0" xfId="0" applyFont="1">
      <alignment vertical="center"/>
    </xf>
    <xf numFmtId="0" fontId="16" fillId="0" borderId="1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5" fillId="0" borderId="29" xfId="0" applyFont="1" applyBorder="1" applyAlignment="1">
      <alignment horizontal="justify" vertical="center"/>
    </xf>
    <xf numFmtId="0" fontId="25" fillId="0" borderId="29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/>
    </xf>
    <xf numFmtId="0" fontId="25" fillId="0" borderId="31" xfId="0" applyFont="1" applyBorder="1" applyAlignment="1">
      <alignment horizontal="justify" vertical="center"/>
    </xf>
    <xf numFmtId="0" fontId="25" fillId="0" borderId="31" xfId="0" applyFont="1" applyBorder="1" applyAlignment="1">
      <alignment horizontal="justify" vertical="center" wrapText="1"/>
    </xf>
    <xf numFmtId="0" fontId="25" fillId="0" borderId="29" xfId="0" applyFont="1" applyBorder="1" applyAlignment="1">
      <alignment horizontal="justify" vertical="center" wrapText="1"/>
    </xf>
    <xf numFmtId="0" fontId="27" fillId="0" borderId="31" xfId="0" applyFont="1" applyBorder="1" applyAlignment="1">
      <alignment horizontal="justify" vertical="center"/>
    </xf>
    <xf numFmtId="0" fontId="27" fillId="0" borderId="29" xfId="0" applyFont="1" applyBorder="1" applyAlignment="1">
      <alignment horizontal="justify" vertical="center"/>
    </xf>
    <xf numFmtId="0" fontId="25" fillId="0" borderId="24" xfId="0" applyFont="1" applyBorder="1" applyAlignment="1">
      <alignment horizontal="justify" vertical="center" wrapText="1"/>
    </xf>
    <xf numFmtId="0" fontId="25" fillId="0" borderId="27" xfId="0" applyFont="1" applyBorder="1" applyAlignment="1">
      <alignment horizontal="justify" vertical="center"/>
    </xf>
    <xf numFmtId="0" fontId="11" fillId="0" borderId="18" xfId="0" applyFont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49" fontId="3" fillId="0" borderId="20" xfId="0" applyNumberFormat="1" applyFont="1" applyBorder="1" applyAlignment="1" applyProtection="1">
      <alignment horizontal="left" vertical="center" wrapText="1"/>
      <protection locked="0"/>
    </xf>
    <xf numFmtId="49" fontId="14" fillId="0" borderId="20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1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1" fillId="0" borderId="33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left" vertical="center" wrapText="1" indent="2"/>
    </xf>
    <xf numFmtId="0" fontId="31" fillId="0" borderId="38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left" vertical="center" wrapText="1" indent="1"/>
    </xf>
    <xf numFmtId="0" fontId="31" fillId="0" borderId="38" xfId="0" applyFont="1" applyBorder="1" applyAlignment="1">
      <alignment horizontal="left" vertical="center" wrapText="1" indent="2"/>
    </xf>
    <xf numFmtId="0" fontId="31" fillId="0" borderId="39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 indent="2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 indent="1"/>
    </xf>
    <xf numFmtId="0" fontId="31" fillId="0" borderId="41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left" vertical="center" wrapText="1" indent="4"/>
    </xf>
    <xf numFmtId="0" fontId="31" fillId="0" borderId="42" xfId="0" applyFont="1" applyBorder="1" applyAlignment="1">
      <alignment horizontal="left" vertical="center" wrapText="1" indent="3"/>
    </xf>
    <xf numFmtId="0" fontId="31" fillId="0" borderId="45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 wrapText="1"/>
    </xf>
    <xf numFmtId="0" fontId="31" fillId="0" borderId="47" xfId="0" applyFont="1" applyBorder="1" applyAlignment="1">
      <alignment horizontal="left" vertical="center" indent="2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11" fillId="0" borderId="48" xfId="0" applyFont="1" applyBorder="1" applyAlignment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16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1" fillId="0" borderId="3" xfId="0" applyFont="1" applyBorder="1">
      <alignment vertical="center"/>
    </xf>
    <xf numFmtId="0" fontId="11" fillId="0" borderId="19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49" fontId="14" fillId="0" borderId="19" xfId="0" applyNumberFormat="1" applyFont="1" applyBorder="1" applyAlignment="1" applyProtection="1">
      <alignment horizontal="left" vertical="center" wrapText="1"/>
      <protection locked="0"/>
    </xf>
    <xf numFmtId="0" fontId="0" fillId="0" borderId="20" xfId="0" applyBorder="1" applyAlignment="1">
      <alignment horizontal="left" vertical="center" wrapText="1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>
      <alignment horizontal="left" vertical="center" wrapText="1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49" fontId="10" fillId="0" borderId="20" xfId="0" applyNumberFormat="1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49" fontId="10" fillId="0" borderId="19" xfId="0" applyNumberFormat="1" applyFont="1" applyBorder="1" applyAlignment="1" applyProtection="1">
      <alignment horizontal="left" vertical="center" wrapText="1"/>
      <protection locked="0"/>
    </xf>
    <xf numFmtId="0" fontId="9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37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5" xfId="0" applyFont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justify" vertical="center"/>
    </xf>
    <xf numFmtId="0" fontId="25" fillId="0" borderId="30" xfId="0" applyFont="1" applyBorder="1" applyAlignment="1">
      <alignment horizontal="justify" vertical="center"/>
    </xf>
    <xf numFmtId="0" fontId="25" fillId="0" borderId="26" xfId="0" applyFont="1" applyBorder="1" applyAlignment="1">
      <alignment horizontal="justify" vertical="center"/>
    </xf>
    <xf numFmtId="0" fontId="25" fillId="0" borderId="2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justify" vertical="center" wrapText="1"/>
    </xf>
    <xf numFmtId="0" fontId="25" fillId="0" borderId="30" xfId="0" applyFont="1" applyBorder="1" applyAlignment="1">
      <alignment horizontal="justify" vertical="center" wrapText="1"/>
    </xf>
    <xf numFmtId="0" fontId="25" fillId="0" borderId="26" xfId="0" applyFont="1" applyBorder="1" applyAlignment="1">
      <alignment horizontal="justify" vertical="center" wrapText="1"/>
    </xf>
    <xf numFmtId="0" fontId="31" fillId="0" borderId="40" xfId="0" applyFont="1" applyBorder="1" applyAlignment="1">
      <alignment horizontal="left" vertical="center" wrapText="1" indent="6"/>
    </xf>
    <xf numFmtId="0" fontId="31" fillId="0" borderId="36" xfId="0" applyFont="1" applyBorder="1" applyAlignment="1">
      <alignment horizontal="left" vertical="center" wrapText="1" indent="6"/>
    </xf>
    <xf numFmtId="0" fontId="31" fillId="0" borderId="35" xfId="0" applyFont="1" applyBorder="1" applyAlignment="1">
      <alignment horizontal="left" vertical="center" wrapText="1" indent="6"/>
    </xf>
    <xf numFmtId="0" fontId="31" fillId="0" borderId="40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3">
    <cellStyle name="Normal 2" xfId="2" xr:uid="{00000000-0005-0000-0000-000001000000}"/>
    <cellStyle name="常规" xfId="0" builtinId="0"/>
    <cellStyle name="常规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356151</xdr:colOff>
      <xdr:row>29</xdr:row>
      <xdr:rowOff>0</xdr:rowOff>
    </xdr:from>
    <xdr:to>
      <xdr:col>9</xdr:col>
      <xdr:colOff>2794275</xdr:colOff>
      <xdr:row>44</xdr:row>
      <xdr:rowOff>159578</xdr:rowOff>
    </xdr:to>
    <xdr:pic>
      <xdr:nvPicPr>
        <xdr:cNvPr id="2" name="Picture 1" descr="光路图">
          <a:extLst>
            <a:ext uri="{FF2B5EF4-FFF2-40B4-BE49-F238E27FC236}">
              <a16:creationId xmlns:a16="http://schemas.microsoft.com/office/drawing/2014/main" id="{9204BA58-714E-497E-B0AB-1861E67F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521" y="6766891"/>
          <a:ext cx="6711950" cy="276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10" zoomScale="115" zoomScaleNormal="115" workbookViewId="0">
      <selection activeCell="H9" sqref="H9"/>
    </sheetView>
  </sheetViews>
  <sheetFormatPr defaultColWidth="8.875" defaultRowHeight="13.5"/>
  <cols>
    <col min="1" max="1" width="9.75" style="1" customWidth="1"/>
    <col min="2" max="2" width="13.125" style="1" customWidth="1"/>
    <col min="3" max="3" width="9.625" style="1" customWidth="1"/>
    <col min="4" max="4" width="19.5" style="1" customWidth="1"/>
    <col min="5" max="5" width="8.5" style="1" bestFit="1" customWidth="1"/>
    <col min="6" max="6" width="8.375" style="1" customWidth="1"/>
    <col min="7" max="7" width="11.25" style="1" customWidth="1"/>
    <col min="8" max="8" width="20.625" style="1" customWidth="1"/>
    <col min="9" max="9" width="7.25" style="1" bestFit="1" customWidth="1"/>
    <col min="10" max="10" width="41.375" style="1" customWidth="1"/>
    <col min="11" max="11" width="16" style="1" customWidth="1"/>
    <col min="12" max="12" width="11.875" style="1" bestFit="1" customWidth="1"/>
    <col min="13" max="13" width="9.25" style="1" bestFit="1" customWidth="1"/>
    <col min="14" max="14" width="13" style="1" bestFit="1" customWidth="1"/>
    <col min="15" max="16384" width="8.875" style="1"/>
  </cols>
  <sheetData>
    <row r="1" spans="1:10" ht="15" thickBot="1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26.25" thickTop="1">
      <c r="A2" s="2" t="s">
        <v>1</v>
      </c>
      <c r="B2" s="3" t="s">
        <v>2</v>
      </c>
      <c r="C2" s="3" t="s">
        <v>3</v>
      </c>
      <c r="D2" s="4" t="s">
        <v>4</v>
      </c>
      <c r="E2" s="20" t="s">
        <v>5</v>
      </c>
      <c r="F2" s="4" t="s">
        <v>6</v>
      </c>
      <c r="G2" s="5" t="s">
        <v>7</v>
      </c>
      <c r="H2" s="55" t="s">
        <v>8</v>
      </c>
      <c r="I2" s="4" t="s">
        <v>9</v>
      </c>
      <c r="J2" s="6" t="s">
        <v>10</v>
      </c>
    </row>
    <row r="3" spans="1:10">
      <c r="A3" s="139" t="s">
        <v>11</v>
      </c>
      <c r="B3" s="131" t="s">
        <v>12</v>
      </c>
      <c r="C3" s="108" t="s">
        <v>13</v>
      </c>
      <c r="D3" s="7" t="s">
        <v>14</v>
      </c>
      <c r="E3" s="8" t="str">
        <f>DEC2HEX(0,4)</f>
        <v>0000</v>
      </c>
      <c r="F3" s="8">
        <v>32</v>
      </c>
      <c r="G3" s="8" t="s">
        <v>15</v>
      </c>
      <c r="H3" s="8" t="s">
        <v>16</v>
      </c>
      <c r="I3" s="8" t="s">
        <v>17</v>
      </c>
      <c r="J3" s="21" t="s">
        <v>18</v>
      </c>
    </row>
    <row r="4" spans="1:10">
      <c r="A4" s="140"/>
      <c r="B4" s="131"/>
      <c r="C4" s="110"/>
      <c r="D4" s="7" t="s">
        <v>19</v>
      </c>
      <c r="E4" s="8" t="str">
        <f t="shared" ref="E4:E26" si="0">DEC2HEX(HEX2DEC(E3)+F3,4)</f>
        <v>0020</v>
      </c>
      <c r="F4" s="8">
        <v>32</v>
      </c>
      <c r="G4" s="8" t="s">
        <v>15</v>
      </c>
      <c r="H4" s="8" t="s">
        <v>20</v>
      </c>
      <c r="I4" s="8" t="s">
        <v>17</v>
      </c>
      <c r="J4" s="21" t="s">
        <v>21</v>
      </c>
    </row>
    <row r="5" spans="1:10" ht="13.5" customHeight="1">
      <c r="A5" s="140"/>
      <c r="B5" s="131"/>
      <c r="C5" s="110"/>
      <c r="D5" s="7" t="s">
        <v>22</v>
      </c>
      <c r="E5" s="8" t="str">
        <f t="shared" si="0"/>
        <v>0040</v>
      </c>
      <c r="F5" s="8">
        <v>2</v>
      </c>
      <c r="G5" s="8" t="s">
        <v>23</v>
      </c>
      <c r="H5" s="8" t="s">
        <v>24</v>
      </c>
      <c r="I5" s="8" t="s">
        <v>17</v>
      </c>
      <c r="J5" s="11" t="s">
        <v>25</v>
      </c>
    </row>
    <row r="6" spans="1:10" ht="13.5" customHeight="1">
      <c r="A6" s="140"/>
      <c r="B6" s="131"/>
      <c r="C6" s="110"/>
      <c r="D6" s="7" t="s">
        <v>26</v>
      </c>
      <c r="E6" s="8" t="str">
        <f t="shared" si="0"/>
        <v>0042</v>
      </c>
      <c r="F6" s="8">
        <v>2</v>
      </c>
      <c r="G6" s="8" t="s">
        <v>15</v>
      </c>
      <c r="H6" s="8" t="s">
        <v>27</v>
      </c>
      <c r="I6" s="8" t="s">
        <v>17</v>
      </c>
      <c r="J6" s="11" t="s">
        <v>28</v>
      </c>
    </row>
    <row r="7" spans="1:10">
      <c r="A7" s="140"/>
      <c r="B7" s="131"/>
      <c r="C7" s="110"/>
      <c r="D7" s="7" t="s">
        <v>29</v>
      </c>
      <c r="E7" s="8" t="str">
        <f t="shared" si="0"/>
        <v>0044</v>
      </c>
      <c r="F7" s="8">
        <v>2</v>
      </c>
      <c r="G7" s="8" t="s">
        <v>23</v>
      </c>
      <c r="H7" s="8" t="s">
        <v>27</v>
      </c>
      <c r="I7" s="8" t="s">
        <v>17</v>
      </c>
      <c r="J7" s="11" t="s">
        <v>30</v>
      </c>
    </row>
    <row r="8" spans="1:10" ht="14.25">
      <c r="A8" s="140"/>
      <c r="B8" s="131"/>
      <c r="C8" s="110"/>
      <c r="D8" s="7" t="s">
        <v>31</v>
      </c>
      <c r="E8" s="8" t="str">
        <f t="shared" si="0"/>
        <v>0046</v>
      </c>
      <c r="F8" s="8">
        <v>2</v>
      </c>
      <c r="G8" s="8">
        <v>0</v>
      </c>
      <c r="H8" s="8" t="s">
        <v>32</v>
      </c>
      <c r="I8" s="8" t="s">
        <v>23</v>
      </c>
      <c r="J8" s="30"/>
    </row>
    <row r="9" spans="1:10" ht="36">
      <c r="A9" s="140"/>
      <c r="B9" s="131"/>
      <c r="C9" s="110"/>
      <c r="D9" s="7" t="s">
        <v>33</v>
      </c>
      <c r="E9" s="8" t="str">
        <f t="shared" si="0"/>
        <v>0048</v>
      </c>
      <c r="F9" s="8">
        <v>4</v>
      </c>
      <c r="G9" s="8" t="s">
        <v>23</v>
      </c>
      <c r="H9" s="8" t="s">
        <v>34</v>
      </c>
      <c r="I9" s="8" t="s">
        <v>23</v>
      </c>
      <c r="J9" s="11" t="s">
        <v>35</v>
      </c>
    </row>
    <row r="10" spans="1:10" ht="36">
      <c r="A10" s="140"/>
      <c r="B10" s="131"/>
      <c r="C10" s="110"/>
      <c r="D10" s="7" t="s">
        <v>36</v>
      </c>
      <c r="E10" s="8" t="str">
        <f t="shared" si="0"/>
        <v>004C</v>
      </c>
      <c r="F10" s="8">
        <v>4</v>
      </c>
      <c r="G10" s="8" t="s">
        <v>23</v>
      </c>
      <c r="H10" s="8" t="s">
        <v>34</v>
      </c>
      <c r="I10" s="8" t="s">
        <v>23</v>
      </c>
      <c r="J10" s="11" t="s">
        <v>37</v>
      </c>
    </row>
    <row r="11" spans="1:10" ht="48">
      <c r="A11" s="140"/>
      <c r="B11" s="131"/>
      <c r="C11" s="110"/>
      <c r="D11" s="7" t="s">
        <v>38</v>
      </c>
      <c r="E11" s="8" t="str">
        <f t="shared" si="0"/>
        <v>0050</v>
      </c>
      <c r="F11" s="8">
        <v>2</v>
      </c>
      <c r="G11" s="8">
        <v>0</v>
      </c>
      <c r="H11" s="8" t="s">
        <v>32</v>
      </c>
      <c r="I11" s="8" t="s">
        <v>23</v>
      </c>
      <c r="J11" s="63" t="s">
        <v>39</v>
      </c>
    </row>
    <row r="12" spans="1:10">
      <c r="A12" s="140"/>
      <c r="B12" s="131"/>
      <c r="C12" s="110"/>
      <c r="D12" s="7" t="s">
        <v>31</v>
      </c>
      <c r="E12" s="8" t="str">
        <f t="shared" si="0"/>
        <v>0052</v>
      </c>
      <c r="F12" s="8">
        <v>30</v>
      </c>
      <c r="G12" s="8">
        <v>0</v>
      </c>
      <c r="H12" s="8" t="s">
        <v>32</v>
      </c>
      <c r="I12" s="8" t="s">
        <v>23</v>
      </c>
      <c r="J12" s="62" t="s">
        <v>40</v>
      </c>
    </row>
    <row r="13" spans="1:10">
      <c r="A13" s="140"/>
      <c r="B13" s="131"/>
      <c r="C13" s="110"/>
      <c r="D13" s="7" t="s">
        <v>41</v>
      </c>
      <c r="E13" s="8" t="str">
        <f t="shared" si="0"/>
        <v>0070</v>
      </c>
      <c r="F13" s="8">
        <v>16</v>
      </c>
      <c r="G13" s="8" t="s">
        <v>23</v>
      </c>
      <c r="H13" s="8" t="s">
        <v>42</v>
      </c>
      <c r="I13" s="8" t="s">
        <v>23</v>
      </c>
      <c r="J13" s="28" t="s">
        <v>43</v>
      </c>
    </row>
    <row r="14" spans="1:10" ht="13.5" customHeight="1">
      <c r="A14" s="140"/>
      <c r="B14" s="131"/>
      <c r="C14" s="110"/>
      <c r="D14" s="7" t="s">
        <v>44</v>
      </c>
      <c r="E14" s="8" t="str">
        <f t="shared" si="0"/>
        <v>0080</v>
      </c>
      <c r="F14" s="8">
        <v>16</v>
      </c>
      <c r="G14" s="8" t="s">
        <v>23</v>
      </c>
      <c r="H14" s="8" t="s">
        <v>45</v>
      </c>
      <c r="I14" s="8" t="s">
        <v>23</v>
      </c>
      <c r="J14" s="28" t="s">
        <v>46</v>
      </c>
    </row>
    <row r="15" spans="1:10" ht="13.5" customHeight="1">
      <c r="A15" s="140"/>
      <c r="B15" s="132"/>
      <c r="C15" s="110"/>
      <c r="D15" s="7" t="s">
        <v>47</v>
      </c>
      <c r="E15" s="8" t="str">
        <f t="shared" si="0"/>
        <v>0090</v>
      </c>
      <c r="F15" s="8">
        <v>16</v>
      </c>
      <c r="G15" s="8" t="s">
        <v>15</v>
      </c>
      <c r="H15" s="8" t="s">
        <v>48</v>
      </c>
      <c r="I15" s="8" t="s">
        <v>15</v>
      </c>
      <c r="J15" s="28" t="s">
        <v>49</v>
      </c>
    </row>
    <row r="16" spans="1:10" ht="13.5" customHeight="1">
      <c r="A16" s="140"/>
      <c r="B16" s="132"/>
      <c r="C16" s="110"/>
      <c r="D16" s="7" t="s">
        <v>50</v>
      </c>
      <c r="E16" s="8" t="str">
        <f t="shared" si="0"/>
        <v>00A0</v>
      </c>
      <c r="F16" s="8">
        <v>16</v>
      </c>
      <c r="G16" s="8" t="s">
        <v>15</v>
      </c>
      <c r="H16" s="8" t="s">
        <v>51</v>
      </c>
      <c r="I16" s="8" t="s">
        <v>15</v>
      </c>
      <c r="J16" s="28" t="s">
        <v>52</v>
      </c>
    </row>
    <row r="17" spans="1:10" ht="13.5" customHeight="1">
      <c r="A17" s="140"/>
      <c r="B17" s="132"/>
      <c r="C17" s="111"/>
      <c r="D17" s="7" t="s">
        <v>53</v>
      </c>
      <c r="E17" s="8" t="str">
        <f t="shared" si="0"/>
        <v>00B0</v>
      </c>
      <c r="F17" s="8">
        <v>16</v>
      </c>
      <c r="G17" s="8" t="s">
        <v>15</v>
      </c>
      <c r="H17" s="8" t="s">
        <v>54</v>
      </c>
      <c r="I17" s="8" t="s">
        <v>15</v>
      </c>
      <c r="J17" s="28" t="s">
        <v>55</v>
      </c>
    </row>
    <row r="18" spans="1:10">
      <c r="A18" s="140"/>
      <c r="B18" s="132"/>
      <c r="C18" s="16" t="s">
        <v>56</v>
      </c>
      <c r="D18" s="7" t="s">
        <v>57</v>
      </c>
      <c r="E18" s="8" t="str">
        <f t="shared" si="0"/>
        <v>00C0</v>
      </c>
      <c r="F18" s="8">
        <v>64</v>
      </c>
      <c r="G18" s="8">
        <v>0</v>
      </c>
      <c r="H18" s="8" t="s">
        <v>32</v>
      </c>
      <c r="I18" s="8" t="s">
        <v>17</v>
      </c>
      <c r="J18" s="10" t="s">
        <v>58</v>
      </c>
    </row>
    <row r="19" spans="1:10" customFormat="1">
      <c r="A19" s="141" t="s">
        <v>59</v>
      </c>
      <c r="B19" s="136" t="s">
        <v>60</v>
      </c>
      <c r="C19" s="99" t="s">
        <v>61</v>
      </c>
      <c r="D19" s="99" t="s">
        <v>62</v>
      </c>
      <c r="E19" s="8" t="str">
        <f t="shared" si="0"/>
        <v>0100</v>
      </c>
      <c r="F19" s="8">
        <v>32</v>
      </c>
      <c r="G19" s="99" t="s">
        <v>63</v>
      </c>
      <c r="H19" s="103" t="s">
        <v>15</v>
      </c>
      <c r="I19" s="103" t="s">
        <v>15</v>
      </c>
      <c r="J19" s="133" t="s">
        <v>64</v>
      </c>
    </row>
    <row r="20" spans="1:10" customFormat="1">
      <c r="A20" s="140"/>
      <c r="B20" s="137"/>
      <c r="C20" s="99" t="s">
        <v>65</v>
      </c>
      <c r="D20" s="99" t="s">
        <v>62</v>
      </c>
      <c r="E20" s="8" t="str">
        <f t="shared" si="0"/>
        <v>0120</v>
      </c>
      <c r="F20" s="8">
        <v>32</v>
      </c>
      <c r="G20" s="99" t="s">
        <v>66</v>
      </c>
      <c r="H20" s="8" t="s">
        <v>17</v>
      </c>
      <c r="I20" s="8" t="s">
        <v>17</v>
      </c>
      <c r="J20" s="134"/>
    </row>
    <row r="21" spans="1:10" customFormat="1">
      <c r="A21" s="140"/>
      <c r="B21" s="137"/>
      <c r="C21" s="99" t="s">
        <v>67</v>
      </c>
      <c r="D21" s="99" t="s">
        <v>62</v>
      </c>
      <c r="E21" s="8" t="str">
        <f t="shared" si="0"/>
        <v>0140</v>
      </c>
      <c r="F21" s="8">
        <v>32</v>
      </c>
      <c r="G21" s="99" t="s">
        <v>66</v>
      </c>
      <c r="H21" s="8" t="s">
        <v>17</v>
      </c>
      <c r="I21" s="8" t="s">
        <v>17</v>
      </c>
      <c r="J21" s="134"/>
    </row>
    <row r="22" spans="1:10" customFormat="1">
      <c r="A22" s="140"/>
      <c r="B22" s="137"/>
      <c r="C22" s="99" t="s">
        <v>68</v>
      </c>
      <c r="D22" s="99" t="s">
        <v>62</v>
      </c>
      <c r="E22" s="8" t="str">
        <f t="shared" si="0"/>
        <v>0160</v>
      </c>
      <c r="F22" s="8">
        <v>32</v>
      </c>
      <c r="G22" s="99" t="s">
        <v>66</v>
      </c>
      <c r="H22" s="103" t="s">
        <v>15</v>
      </c>
      <c r="I22" s="103" t="s">
        <v>15</v>
      </c>
      <c r="J22" s="135"/>
    </row>
    <row r="23" spans="1:10" customFormat="1">
      <c r="A23" s="140"/>
      <c r="B23" s="138"/>
      <c r="C23" s="66" t="s">
        <v>56</v>
      </c>
      <c r="D23" s="7" t="s">
        <v>57</v>
      </c>
      <c r="E23" s="8" t="str">
        <f t="shared" si="0"/>
        <v>0180</v>
      </c>
      <c r="F23" s="8">
        <v>128</v>
      </c>
      <c r="G23" s="101">
        <v>0</v>
      </c>
      <c r="H23" s="101" t="s">
        <v>69</v>
      </c>
      <c r="I23" s="166" t="s">
        <v>15</v>
      </c>
      <c r="J23" s="65"/>
    </row>
    <row r="24" spans="1:10" customFormat="1" ht="54" customHeight="1">
      <c r="A24" s="106" t="s">
        <v>70</v>
      </c>
      <c r="B24" s="107" t="s">
        <v>71</v>
      </c>
      <c r="C24" s="99" t="s">
        <v>72</v>
      </c>
      <c r="D24" s="99" t="s">
        <v>73</v>
      </c>
      <c r="E24" s="8" t="str">
        <f t="shared" si="0"/>
        <v>0200</v>
      </c>
      <c r="F24" s="8">
        <v>256</v>
      </c>
      <c r="G24" s="103" t="s">
        <v>15</v>
      </c>
      <c r="H24" s="103" t="s">
        <v>15</v>
      </c>
      <c r="I24" s="103" t="s">
        <v>15</v>
      </c>
      <c r="J24" s="100" t="s">
        <v>74</v>
      </c>
    </row>
    <row r="25" spans="1:10" customFormat="1" ht="14.25">
      <c r="A25" s="106" t="s">
        <v>75</v>
      </c>
      <c r="B25" s="38" t="s">
        <v>76</v>
      </c>
      <c r="C25" s="104" t="s">
        <v>56</v>
      </c>
      <c r="D25" s="7" t="s">
        <v>57</v>
      </c>
      <c r="E25" s="8" t="str">
        <f t="shared" si="0"/>
        <v>0300</v>
      </c>
      <c r="F25" s="8">
        <v>252</v>
      </c>
      <c r="G25" s="102">
        <v>0</v>
      </c>
      <c r="H25" s="102" t="s">
        <v>69</v>
      </c>
      <c r="I25" s="166" t="s">
        <v>15</v>
      </c>
      <c r="J25" s="65"/>
    </row>
    <row r="26" spans="1:10" ht="14.25" thickBot="1">
      <c r="A26" s="98" t="s">
        <v>77</v>
      </c>
      <c r="B26" s="105" t="s">
        <v>78</v>
      </c>
      <c r="C26" s="12" t="s">
        <v>78</v>
      </c>
      <c r="D26" s="13" t="s">
        <v>78</v>
      </c>
      <c r="E26" s="64" t="str">
        <f t="shared" si="0"/>
        <v>03FC</v>
      </c>
      <c r="F26" s="12">
        <v>4</v>
      </c>
      <c r="G26" s="18" t="s">
        <v>15</v>
      </c>
      <c r="H26" s="19" t="s">
        <v>79</v>
      </c>
      <c r="I26" s="12" t="s">
        <v>17</v>
      </c>
      <c r="J26" s="15" t="s">
        <v>80</v>
      </c>
    </row>
    <row r="27" spans="1:10" ht="14.25" thickTop="1"/>
  </sheetData>
  <customSheetViews>
    <customSheetView guid="{8C5435F6-07C7-4500-A606-6BFF83ACC092}" scale="115" topLeftCell="B1">
      <selection activeCell="H14" sqref="H14"/>
      <pageMargins left="0" right="0" top="0" bottom="0" header="0" footer="0"/>
      <pageSetup orientation="portrait" horizontalDpi="4294967295" verticalDpi="4294967295" r:id="rId1"/>
    </customSheetView>
  </customSheetViews>
  <mergeCells count="7">
    <mergeCell ref="A1:J1"/>
    <mergeCell ref="B3:B18"/>
    <mergeCell ref="C3:C17"/>
    <mergeCell ref="J19:J22"/>
    <mergeCell ref="B19:B23"/>
    <mergeCell ref="A3:A18"/>
    <mergeCell ref="A19:A23"/>
  </mergeCells>
  <phoneticPr fontId="4" type="noConversion"/>
  <pageMargins left="0.7" right="0.7" top="0.75" bottom="0.75" header="0.3" footer="0.3"/>
  <pageSetup orientation="portrait" horizontalDpi="4294967295" verticalDpi="4294967295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tabSelected="1" topLeftCell="A28" workbookViewId="0">
      <selection activeCell="K7" sqref="K7"/>
    </sheetView>
  </sheetViews>
  <sheetFormatPr defaultColWidth="8.875" defaultRowHeight="12.75"/>
  <cols>
    <col min="1" max="1" width="9.625" style="17" bestFit="1" customWidth="1"/>
    <col min="2" max="2" width="13" style="17" customWidth="1"/>
    <col min="3" max="3" width="17.75" style="17" customWidth="1"/>
    <col min="4" max="4" width="22.875" style="17" customWidth="1"/>
    <col min="5" max="5" width="10.75" style="17" customWidth="1"/>
    <col min="6" max="6" width="9.875" style="17" customWidth="1"/>
    <col min="7" max="7" width="12.375" style="17" customWidth="1"/>
    <col min="8" max="8" width="10.875" style="17" customWidth="1"/>
    <col min="9" max="9" width="7.25" style="17" bestFit="1" customWidth="1"/>
    <col min="10" max="10" width="46.375" style="17" customWidth="1"/>
    <col min="11" max="11" width="16" style="17" customWidth="1"/>
    <col min="12" max="12" width="12.625" style="17" bestFit="1" customWidth="1"/>
    <col min="13" max="13" width="13.5" style="17" bestFit="1" customWidth="1"/>
    <col min="14" max="14" width="13" style="17" bestFit="1" customWidth="1"/>
    <col min="15" max="16384" width="8.875" style="17"/>
  </cols>
  <sheetData>
    <row r="1" spans="1:10" ht="13.5" thickBot="1">
      <c r="A1" s="120" t="s">
        <v>81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s="69" customFormat="1" ht="13.5" thickTop="1">
      <c r="A2" s="24" t="s">
        <v>82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s="69" customFormat="1">
      <c r="A3" s="24" t="s">
        <v>83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s="69" customFormat="1">
      <c r="A4" s="24" t="s">
        <v>84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3.5" thickBot="1">
      <c r="A5" s="24" t="s">
        <v>85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25.5" thickTop="1">
      <c r="A6" s="2" t="s">
        <v>1</v>
      </c>
      <c r="B6" s="3" t="s">
        <v>2</v>
      </c>
      <c r="C6" s="3" t="s">
        <v>3</v>
      </c>
      <c r="D6" s="4" t="s">
        <v>4</v>
      </c>
      <c r="E6" s="54" t="s">
        <v>86</v>
      </c>
      <c r="F6" s="4" t="s">
        <v>6</v>
      </c>
      <c r="G6" s="5" t="s">
        <v>7</v>
      </c>
      <c r="H6" s="5" t="s">
        <v>87</v>
      </c>
      <c r="I6" s="4" t="s">
        <v>9</v>
      </c>
      <c r="J6" s="6" t="s">
        <v>10</v>
      </c>
    </row>
    <row r="7" spans="1:10">
      <c r="A7" s="123" t="s">
        <v>88</v>
      </c>
      <c r="B7" s="36" t="s">
        <v>89</v>
      </c>
      <c r="C7" s="61" t="s">
        <v>90</v>
      </c>
      <c r="D7" s="38" t="s">
        <v>91</v>
      </c>
      <c r="E7" s="38" t="str">
        <f>DEC2HEX(0,4)</f>
        <v>0000</v>
      </c>
      <c r="F7" s="38">
        <v>1</v>
      </c>
      <c r="G7" s="39">
        <v>0</v>
      </c>
      <c r="H7" s="39">
        <v>0</v>
      </c>
      <c r="I7" s="38" t="s">
        <v>23</v>
      </c>
      <c r="J7" s="56" t="s">
        <v>92</v>
      </c>
    </row>
    <row r="8" spans="1:10">
      <c r="A8" s="123"/>
      <c r="B8" s="36" t="s">
        <v>58</v>
      </c>
      <c r="C8" s="37" t="s">
        <v>93</v>
      </c>
      <c r="D8" s="38" t="s">
        <v>94</v>
      </c>
      <c r="E8" s="33" t="str">
        <f>DEC2HEX(HEX2DEC(E7)+F7,4)</f>
        <v>0001</v>
      </c>
      <c r="F8" s="8">
        <v>1</v>
      </c>
      <c r="G8" s="9">
        <v>0</v>
      </c>
      <c r="H8" s="9">
        <v>0</v>
      </c>
      <c r="I8" s="8" t="s">
        <v>17</v>
      </c>
      <c r="J8" s="10" t="s">
        <v>95</v>
      </c>
    </row>
    <row r="9" spans="1:10" ht="33.75">
      <c r="A9" s="123"/>
      <c r="B9" s="16" t="s">
        <v>96</v>
      </c>
      <c r="C9" s="68" t="s">
        <v>97</v>
      </c>
      <c r="D9" s="8" t="s">
        <v>98</v>
      </c>
      <c r="E9" s="33" t="str">
        <f>DEC2HEX(HEX2DEC(E8)+F8,4)</f>
        <v>0002</v>
      </c>
      <c r="F9" s="33">
        <v>1</v>
      </c>
      <c r="G9" s="27">
        <v>0</v>
      </c>
      <c r="H9" s="27">
        <v>0</v>
      </c>
      <c r="I9" s="33" t="s">
        <v>23</v>
      </c>
      <c r="J9" s="92" t="s">
        <v>99</v>
      </c>
    </row>
    <row r="10" spans="1:10">
      <c r="A10" s="123"/>
      <c r="B10" s="36" t="s">
        <v>58</v>
      </c>
      <c r="C10" s="37" t="s">
        <v>93</v>
      </c>
      <c r="D10" s="38" t="s">
        <v>100</v>
      </c>
      <c r="E10" s="33" t="str">
        <f t="shared" ref="E10:E22" si="0">DEC2HEX(HEX2DEC(E9)+F9,4)</f>
        <v>0003</v>
      </c>
      <c r="F10" s="8">
        <v>1</v>
      </c>
      <c r="G10" s="9">
        <v>0</v>
      </c>
      <c r="H10" s="9">
        <v>0</v>
      </c>
      <c r="I10" s="8" t="s">
        <v>17</v>
      </c>
      <c r="J10" s="10" t="s">
        <v>95</v>
      </c>
    </row>
    <row r="11" spans="1:10">
      <c r="A11" s="123"/>
      <c r="B11" s="26" t="s">
        <v>101</v>
      </c>
      <c r="C11" s="60" t="s">
        <v>102</v>
      </c>
      <c r="D11" s="33" t="s">
        <v>103</v>
      </c>
      <c r="E11" s="33" t="str">
        <f t="shared" si="0"/>
        <v>0004</v>
      </c>
      <c r="F11" s="8">
        <v>2</v>
      </c>
      <c r="G11" s="27">
        <v>200</v>
      </c>
      <c r="H11" s="27" t="str">
        <f>DEC2HEX(G11,4)</f>
        <v>00C8</v>
      </c>
      <c r="I11" s="33" t="s">
        <v>23</v>
      </c>
      <c r="J11" s="21" t="s">
        <v>104</v>
      </c>
    </row>
    <row r="12" spans="1:10">
      <c r="A12" s="123"/>
      <c r="B12" s="36" t="s">
        <v>58</v>
      </c>
      <c r="C12" s="37" t="s">
        <v>93</v>
      </c>
      <c r="D12" s="38" t="s">
        <v>105</v>
      </c>
      <c r="E12" s="33" t="str">
        <f t="shared" si="0"/>
        <v>0006</v>
      </c>
      <c r="F12" s="53">
        <v>2</v>
      </c>
      <c r="G12" s="9">
        <v>0</v>
      </c>
      <c r="H12" s="9">
        <v>0</v>
      </c>
      <c r="I12" s="8" t="s">
        <v>23</v>
      </c>
      <c r="J12" s="57" t="s">
        <v>95</v>
      </c>
    </row>
    <row r="13" spans="1:10" ht="24">
      <c r="A13" s="123"/>
      <c r="B13" s="35" t="s">
        <v>106</v>
      </c>
      <c r="C13" s="32" t="s">
        <v>107</v>
      </c>
      <c r="D13" s="8" t="s">
        <v>108</v>
      </c>
      <c r="E13" s="33" t="str">
        <f t="shared" si="0"/>
        <v>0008</v>
      </c>
      <c r="F13" s="53">
        <v>36</v>
      </c>
      <c r="G13" s="9">
        <v>0</v>
      </c>
      <c r="H13" s="9">
        <v>0</v>
      </c>
      <c r="I13" s="8" t="s">
        <v>23</v>
      </c>
      <c r="J13" s="58" t="s">
        <v>109</v>
      </c>
    </row>
    <row r="14" spans="1:10" ht="24">
      <c r="A14" s="123"/>
      <c r="B14" s="31" t="s">
        <v>110</v>
      </c>
      <c r="C14" s="35" t="s">
        <v>111</v>
      </c>
      <c r="D14" s="8" t="s">
        <v>112</v>
      </c>
      <c r="E14" s="33" t="str">
        <f t="shared" si="0"/>
        <v>002C</v>
      </c>
      <c r="F14" s="33">
        <v>72</v>
      </c>
      <c r="G14" s="9">
        <v>0</v>
      </c>
      <c r="H14" s="9">
        <v>0</v>
      </c>
      <c r="I14" s="8" t="s">
        <v>113</v>
      </c>
      <c r="J14" s="34" t="s">
        <v>114</v>
      </c>
    </row>
    <row r="15" spans="1:10">
      <c r="A15" s="124"/>
      <c r="B15" s="36" t="s">
        <v>58</v>
      </c>
      <c r="C15" s="37" t="s">
        <v>58</v>
      </c>
      <c r="D15" s="38" t="s">
        <v>115</v>
      </c>
      <c r="E15" s="33" t="str">
        <f>DEC2HEX(HEX2DEC(E14)+F14,4)</f>
        <v>0074</v>
      </c>
      <c r="F15" s="38">
        <v>44</v>
      </c>
      <c r="G15" s="39">
        <v>0</v>
      </c>
      <c r="H15" s="39">
        <v>0</v>
      </c>
      <c r="I15" s="38" t="s">
        <v>23</v>
      </c>
      <c r="J15" s="56" t="s">
        <v>116</v>
      </c>
    </row>
    <row r="16" spans="1:10" ht="25.5">
      <c r="A16" s="124"/>
      <c r="B16" s="114" t="s">
        <v>117</v>
      </c>
      <c r="C16" s="25" t="s">
        <v>118</v>
      </c>
      <c r="D16" s="38" t="s">
        <v>119</v>
      </c>
      <c r="E16" s="33" t="str">
        <f t="shared" si="0"/>
        <v>00A0</v>
      </c>
      <c r="F16" s="38">
        <v>1</v>
      </c>
      <c r="G16" s="39">
        <v>0</v>
      </c>
      <c r="H16" s="39">
        <v>0</v>
      </c>
      <c r="I16" s="38" t="s">
        <v>23</v>
      </c>
      <c r="J16" s="56" t="s">
        <v>120</v>
      </c>
    </row>
    <row r="17" spans="1:10">
      <c r="A17" s="124"/>
      <c r="B17" s="115"/>
      <c r="C17" s="37" t="s">
        <v>93</v>
      </c>
      <c r="D17" s="38" t="s">
        <v>121</v>
      </c>
      <c r="E17" s="33" t="str">
        <f t="shared" si="0"/>
        <v>00A1</v>
      </c>
      <c r="F17" s="38">
        <v>1</v>
      </c>
      <c r="G17" s="39">
        <v>0</v>
      </c>
      <c r="H17" s="39">
        <v>0</v>
      </c>
      <c r="I17" s="38" t="s">
        <v>23</v>
      </c>
      <c r="J17" s="56" t="s">
        <v>116</v>
      </c>
    </row>
    <row r="18" spans="1:10" ht="25.5">
      <c r="A18" s="124"/>
      <c r="B18" s="116"/>
      <c r="C18" s="25" t="s">
        <v>122</v>
      </c>
      <c r="D18" s="38" t="s">
        <v>123</v>
      </c>
      <c r="E18" s="33" t="str">
        <f t="shared" si="0"/>
        <v>00A2</v>
      </c>
      <c r="F18" s="38">
        <v>625</v>
      </c>
      <c r="G18" s="39">
        <v>0</v>
      </c>
      <c r="H18" s="39">
        <v>0</v>
      </c>
      <c r="I18" s="38" t="s">
        <v>23</v>
      </c>
      <c r="J18" s="56" t="s">
        <v>124</v>
      </c>
    </row>
    <row r="19" spans="1:10">
      <c r="A19" s="124"/>
      <c r="B19" s="116"/>
      <c r="C19" s="37" t="s">
        <v>93</v>
      </c>
      <c r="D19" s="38" t="s">
        <v>125</v>
      </c>
      <c r="E19" s="33" t="str">
        <f t="shared" si="0"/>
        <v>0313</v>
      </c>
      <c r="F19" s="38">
        <v>1</v>
      </c>
      <c r="G19" s="39">
        <v>0</v>
      </c>
      <c r="H19" s="39">
        <v>0</v>
      </c>
      <c r="I19" s="38" t="s">
        <v>23</v>
      </c>
      <c r="J19" s="59" t="s">
        <v>116</v>
      </c>
    </row>
    <row r="20" spans="1:10">
      <c r="A20" s="124"/>
      <c r="B20" s="67" t="s">
        <v>126</v>
      </c>
      <c r="C20" s="37" t="s">
        <v>58</v>
      </c>
      <c r="D20" s="38" t="s">
        <v>127</v>
      </c>
      <c r="E20" s="33" t="str">
        <f t="shared" si="0"/>
        <v>0314</v>
      </c>
      <c r="F20" s="38">
        <v>236</v>
      </c>
      <c r="G20" s="39">
        <v>0</v>
      </c>
      <c r="H20" s="39">
        <v>0</v>
      </c>
      <c r="I20" s="38" t="s">
        <v>23</v>
      </c>
      <c r="J20" s="56" t="s">
        <v>116</v>
      </c>
    </row>
    <row r="21" spans="1:10" ht="13.5" customHeight="1">
      <c r="A21" s="124"/>
      <c r="B21" s="108" t="s">
        <v>128</v>
      </c>
      <c r="C21" s="16" t="s">
        <v>129</v>
      </c>
      <c r="D21" s="8" t="s">
        <v>130</v>
      </c>
      <c r="E21" s="33" t="str">
        <f t="shared" si="0"/>
        <v>0400</v>
      </c>
      <c r="F21" s="8">
        <v>2</v>
      </c>
      <c r="G21" s="9">
        <v>0</v>
      </c>
      <c r="H21" s="9">
        <v>0</v>
      </c>
      <c r="I21" s="8" t="s">
        <v>17</v>
      </c>
      <c r="J21" s="21" t="s">
        <v>131</v>
      </c>
    </row>
    <row r="22" spans="1:10" ht="13.5" customHeight="1">
      <c r="A22" s="124"/>
      <c r="B22" s="109"/>
      <c r="C22" s="16" t="s">
        <v>132</v>
      </c>
      <c r="D22" s="8" t="s">
        <v>133</v>
      </c>
      <c r="E22" s="33" t="str">
        <f t="shared" si="0"/>
        <v>0402</v>
      </c>
      <c r="F22" s="8">
        <v>2</v>
      </c>
      <c r="G22" s="9">
        <v>0</v>
      </c>
      <c r="H22" s="9">
        <v>0</v>
      </c>
      <c r="I22" s="9" t="s">
        <v>134</v>
      </c>
      <c r="J22" s="11" t="s">
        <v>135</v>
      </c>
    </row>
    <row r="23" spans="1:10" ht="19.5" customHeight="1">
      <c r="A23" s="124"/>
      <c r="B23" s="109"/>
      <c r="C23" s="119" t="s">
        <v>136</v>
      </c>
      <c r="D23" s="8" t="s">
        <v>137</v>
      </c>
      <c r="E23" s="119" t="str">
        <f>DEC2HEX(HEX2DEC(E22)+F22,4)</f>
        <v>0404</v>
      </c>
      <c r="F23" s="119">
        <v>144</v>
      </c>
      <c r="G23" s="9">
        <v>0</v>
      </c>
      <c r="H23" s="9">
        <v>0</v>
      </c>
      <c r="I23" s="8" t="s">
        <v>17</v>
      </c>
      <c r="J23" s="117" t="s">
        <v>138</v>
      </c>
    </row>
    <row r="24" spans="1:10" ht="22.5" customHeight="1">
      <c r="A24" s="124"/>
      <c r="B24" s="109"/>
      <c r="C24" s="121"/>
      <c r="D24" s="8" t="s">
        <v>139</v>
      </c>
      <c r="E24" s="126"/>
      <c r="F24" s="127"/>
      <c r="G24" s="9">
        <v>0</v>
      </c>
      <c r="H24" s="9">
        <v>0</v>
      </c>
      <c r="I24" s="8" t="s">
        <v>17</v>
      </c>
      <c r="J24" s="122"/>
    </row>
    <row r="25" spans="1:10" ht="22.5" customHeight="1">
      <c r="A25" s="124"/>
      <c r="B25" s="110"/>
      <c r="C25" s="119" t="s">
        <v>140</v>
      </c>
      <c r="D25" s="8" t="s">
        <v>137</v>
      </c>
      <c r="E25" s="112" t="str">
        <f>DEC2HEX(HEX2DEC(E23)+F23,4)</f>
        <v>0494</v>
      </c>
      <c r="F25" s="112">
        <v>100</v>
      </c>
      <c r="G25" s="9">
        <v>0</v>
      </c>
      <c r="H25" s="9">
        <v>0</v>
      </c>
      <c r="I25" s="8" t="s">
        <v>23</v>
      </c>
      <c r="J25" s="117" t="s">
        <v>141</v>
      </c>
    </row>
    <row r="26" spans="1:10" ht="22.5" customHeight="1">
      <c r="A26" s="124"/>
      <c r="B26" s="111"/>
      <c r="C26" s="111"/>
      <c r="D26" s="8" t="s">
        <v>139</v>
      </c>
      <c r="E26" s="113"/>
      <c r="F26" s="113"/>
      <c r="G26" s="9">
        <v>0</v>
      </c>
      <c r="H26" s="9">
        <v>0</v>
      </c>
      <c r="I26" s="8" t="s">
        <v>23</v>
      </c>
      <c r="J26" s="118"/>
    </row>
    <row r="27" spans="1:10" ht="13.5" customHeight="1">
      <c r="A27" s="124"/>
      <c r="B27" s="108" t="s">
        <v>142</v>
      </c>
      <c r="C27" s="16" t="s">
        <v>129</v>
      </c>
      <c r="D27" s="8" t="s">
        <v>130</v>
      </c>
      <c r="E27" s="8" t="str">
        <f>DEC2HEX(HEX2DEC(E25)+F25,4)</f>
        <v>04F8</v>
      </c>
      <c r="F27" s="8">
        <v>2</v>
      </c>
      <c r="G27" s="9">
        <v>0</v>
      </c>
      <c r="H27" s="9">
        <v>0</v>
      </c>
      <c r="I27" s="8" t="s">
        <v>17</v>
      </c>
      <c r="J27" s="22" t="s">
        <v>143</v>
      </c>
    </row>
    <row r="28" spans="1:10" ht="13.5" customHeight="1">
      <c r="A28" s="124"/>
      <c r="B28" s="109"/>
      <c r="C28" s="16" t="s">
        <v>132</v>
      </c>
      <c r="D28" s="8" t="s">
        <v>133</v>
      </c>
      <c r="E28" s="8" t="str">
        <f>DEC2HEX(HEX2DEC(E27)+F27,4)</f>
        <v>04FA</v>
      </c>
      <c r="F28" s="8">
        <v>2</v>
      </c>
      <c r="G28" s="9">
        <v>0</v>
      </c>
      <c r="H28" s="9">
        <v>0</v>
      </c>
      <c r="I28" s="9" t="s">
        <v>134</v>
      </c>
      <c r="J28" s="11" t="s">
        <v>135</v>
      </c>
    </row>
    <row r="29" spans="1:10" ht="25.5" customHeight="1">
      <c r="A29" s="124"/>
      <c r="B29" s="109"/>
      <c r="C29" s="119" t="s">
        <v>136</v>
      </c>
      <c r="D29" s="8" t="s">
        <v>137</v>
      </c>
      <c r="E29" s="119" t="str">
        <f>DEC2HEX(HEX2DEC(E28)+F28,4)</f>
        <v>04FC</v>
      </c>
      <c r="F29" s="119">
        <v>144</v>
      </c>
      <c r="G29" s="9">
        <v>0</v>
      </c>
      <c r="H29" s="9">
        <v>0</v>
      </c>
      <c r="I29" s="8" t="s">
        <v>17</v>
      </c>
      <c r="J29" s="117" t="s">
        <v>144</v>
      </c>
    </row>
    <row r="30" spans="1:10" ht="22.5" customHeight="1">
      <c r="A30" s="124"/>
      <c r="B30" s="109"/>
      <c r="C30" s="121"/>
      <c r="D30" s="8" t="s">
        <v>139</v>
      </c>
      <c r="E30" s="127"/>
      <c r="F30" s="127"/>
      <c r="G30" s="9">
        <v>0</v>
      </c>
      <c r="H30" s="9">
        <v>0</v>
      </c>
      <c r="I30" s="8" t="s">
        <v>17</v>
      </c>
      <c r="J30" s="122"/>
    </row>
    <row r="31" spans="1:10" ht="21" customHeight="1">
      <c r="A31" s="124"/>
      <c r="B31" s="110"/>
      <c r="C31" s="119" t="s">
        <v>140</v>
      </c>
      <c r="D31" s="8" t="s">
        <v>137</v>
      </c>
      <c r="E31" s="112" t="str">
        <f>DEC2HEX(HEX2DEC(E29)+F29,4)</f>
        <v>058C</v>
      </c>
      <c r="F31" s="112">
        <v>100</v>
      </c>
      <c r="G31" s="9">
        <v>0</v>
      </c>
      <c r="H31" s="9">
        <v>0</v>
      </c>
      <c r="I31" s="8" t="s">
        <v>23</v>
      </c>
      <c r="J31" s="117" t="s">
        <v>145</v>
      </c>
    </row>
    <row r="32" spans="1:10" ht="22.5" customHeight="1">
      <c r="A32" s="124"/>
      <c r="B32" s="111"/>
      <c r="C32" s="111"/>
      <c r="D32" s="8" t="s">
        <v>139</v>
      </c>
      <c r="E32" s="113"/>
      <c r="F32" s="113"/>
      <c r="G32" s="9">
        <v>0</v>
      </c>
      <c r="H32" s="9">
        <v>0</v>
      </c>
      <c r="I32" s="8" t="s">
        <v>23</v>
      </c>
      <c r="J32" s="118"/>
    </row>
    <row r="33" spans="1:10" ht="13.5" customHeight="1">
      <c r="A33" s="124"/>
      <c r="B33" s="108" t="s">
        <v>146</v>
      </c>
      <c r="C33" s="16" t="s">
        <v>129</v>
      </c>
      <c r="D33" s="8" t="s">
        <v>130</v>
      </c>
      <c r="E33" s="8" t="str">
        <f>DEC2HEX(HEX2DEC(E31)+F31,4)</f>
        <v>05F0</v>
      </c>
      <c r="F33" s="8">
        <v>2</v>
      </c>
      <c r="G33" s="9">
        <v>0</v>
      </c>
      <c r="H33" s="9">
        <v>0</v>
      </c>
      <c r="I33" s="8" t="s">
        <v>17</v>
      </c>
      <c r="J33" s="28" t="s">
        <v>147</v>
      </c>
    </row>
    <row r="34" spans="1:10" ht="13.5" customHeight="1">
      <c r="A34" s="124"/>
      <c r="B34" s="109"/>
      <c r="C34" s="16" t="s">
        <v>132</v>
      </c>
      <c r="D34" s="8" t="s">
        <v>133</v>
      </c>
      <c r="E34" s="8" t="str">
        <f>DEC2HEX(HEX2DEC(E33)+F33,4)</f>
        <v>05F2</v>
      </c>
      <c r="F34" s="8">
        <v>2</v>
      </c>
      <c r="G34" s="9">
        <v>0</v>
      </c>
      <c r="H34" s="9">
        <v>0</v>
      </c>
      <c r="I34" s="9" t="s">
        <v>134</v>
      </c>
      <c r="J34" s="11" t="s">
        <v>135</v>
      </c>
    </row>
    <row r="35" spans="1:10">
      <c r="A35" s="124"/>
      <c r="B35" s="109"/>
      <c r="C35" s="119" t="s">
        <v>136</v>
      </c>
      <c r="D35" s="8" t="s">
        <v>137</v>
      </c>
      <c r="E35" s="119" t="str">
        <f>DEC2HEX(HEX2DEC(E34)+F34,4)</f>
        <v>05F4</v>
      </c>
      <c r="F35" s="119">
        <v>144</v>
      </c>
      <c r="G35" s="9">
        <v>0</v>
      </c>
      <c r="H35" s="9">
        <v>0</v>
      </c>
      <c r="I35" s="9" t="s">
        <v>23</v>
      </c>
      <c r="J35" s="117" t="s">
        <v>148</v>
      </c>
    </row>
    <row r="36" spans="1:10">
      <c r="A36" s="124"/>
      <c r="B36" s="109"/>
      <c r="C36" s="121"/>
      <c r="D36" s="8" t="s">
        <v>139</v>
      </c>
      <c r="E36" s="127"/>
      <c r="F36" s="127"/>
      <c r="G36" s="9">
        <v>0</v>
      </c>
      <c r="H36" s="9">
        <v>0</v>
      </c>
      <c r="I36" s="8" t="s">
        <v>17</v>
      </c>
      <c r="J36" s="122"/>
    </row>
    <row r="37" spans="1:10" ht="18" customHeight="1">
      <c r="A37" s="124"/>
      <c r="B37" s="110"/>
      <c r="C37" s="119" t="s">
        <v>140</v>
      </c>
      <c r="D37" s="8" t="s">
        <v>137</v>
      </c>
      <c r="E37" s="112" t="str">
        <f>DEC2HEX(HEX2DEC(E35)+F35,4)</f>
        <v>0684</v>
      </c>
      <c r="F37" s="112">
        <v>100</v>
      </c>
      <c r="G37" s="9">
        <v>0</v>
      </c>
      <c r="H37" s="9">
        <v>0</v>
      </c>
      <c r="I37" s="8" t="s">
        <v>23</v>
      </c>
      <c r="J37" s="117" t="s">
        <v>145</v>
      </c>
    </row>
    <row r="38" spans="1:10" ht="19.5" customHeight="1">
      <c r="A38" s="124"/>
      <c r="B38" s="111"/>
      <c r="C38" s="111"/>
      <c r="D38" s="8" t="s">
        <v>139</v>
      </c>
      <c r="E38" s="113"/>
      <c r="F38" s="113"/>
      <c r="G38" s="9">
        <v>0</v>
      </c>
      <c r="H38" s="9">
        <v>0</v>
      </c>
      <c r="I38" s="8" t="s">
        <v>23</v>
      </c>
      <c r="J38" s="118"/>
    </row>
    <row r="39" spans="1:10" ht="18.75" customHeight="1">
      <c r="A39" s="124"/>
      <c r="B39" s="129" t="s">
        <v>149</v>
      </c>
      <c r="C39" s="16" t="s">
        <v>129</v>
      </c>
      <c r="D39" s="8" t="s">
        <v>130</v>
      </c>
      <c r="E39" s="8" t="str">
        <f>DEC2HEX(HEX2DEC(E37)+F37,4)</f>
        <v>06E8</v>
      </c>
      <c r="F39" s="8">
        <v>2</v>
      </c>
      <c r="G39" s="9">
        <v>0</v>
      </c>
      <c r="H39" s="9">
        <v>0</v>
      </c>
      <c r="I39" s="8" t="s">
        <v>17</v>
      </c>
      <c r="J39" s="28" t="s">
        <v>150</v>
      </c>
    </row>
    <row r="40" spans="1:10">
      <c r="A40" s="124"/>
      <c r="B40" s="109"/>
      <c r="C40" s="16" t="s">
        <v>132</v>
      </c>
      <c r="D40" s="8" t="s">
        <v>133</v>
      </c>
      <c r="E40" s="8" t="str">
        <f>DEC2HEX(HEX2DEC(E39)+F39,4)</f>
        <v>06EA</v>
      </c>
      <c r="F40" s="8">
        <v>2</v>
      </c>
      <c r="G40" s="9">
        <v>0</v>
      </c>
      <c r="H40" s="9">
        <v>0</v>
      </c>
      <c r="I40" s="9" t="s">
        <v>134</v>
      </c>
      <c r="J40" s="11" t="s">
        <v>135</v>
      </c>
    </row>
    <row r="41" spans="1:10" ht="12.75" customHeight="1">
      <c r="A41" s="124"/>
      <c r="B41" s="109"/>
      <c r="C41" s="119" t="s">
        <v>136</v>
      </c>
      <c r="D41" s="8" t="s">
        <v>137</v>
      </c>
      <c r="E41" s="119" t="str">
        <f>DEC2HEX(HEX2DEC(E40)+F40,4)</f>
        <v>06EC</v>
      </c>
      <c r="F41" s="119">
        <v>144</v>
      </c>
      <c r="G41" s="9">
        <v>0</v>
      </c>
      <c r="H41" s="9">
        <v>0</v>
      </c>
      <c r="I41" s="9" t="s">
        <v>23</v>
      </c>
      <c r="J41" s="128" t="s">
        <v>151</v>
      </c>
    </row>
    <row r="42" spans="1:10" ht="12.75" customHeight="1">
      <c r="A42" s="124"/>
      <c r="B42" s="109"/>
      <c r="C42" s="121"/>
      <c r="D42" s="8" t="s">
        <v>139</v>
      </c>
      <c r="E42" s="127"/>
      <c r="F42" s="127"/>
      <c r="G42" s="9">
        <v>0</v>
      </c>
      <c r="H42" s="9">
        <v>0</v>
      </c>
      <c r="I42" s="8" t="s">
        <v>17</v>
      </c>
      <c r="J42" s="122"/>
    </row>
    <row r="43" spans="1:10" ht="12.75" customHeight="1">
      <c r="A43" s="124"/>
      <c r="B43" s="110"/>
      <c r="C43" s="119" t="s">
        <v>140</v>
      </c>
      <c r="D43" s="8" t="s">
        <v>137</v>
      </c>
      <c r="E43" s="112" t="str">
        <f>DEC2HEX(HEX2DEC(E41)+F41,4)</f>
        <v>077C</v>
      </c>
      <c r="F43" s="112">
        <v>100</v>
      </c>
      <c r="G43" s="9">
        <v>0</v>
      </c>
      <c r="H43" s="9">
        <v>0</v>
      </c>
      <c r="I43" s="8" t="s">
        <v>23</v>
      </c>
      <c r="J43" s="117" t="s">
        <v>152</v>
      </c>
    </row>
    <row r="44" spans="1:10" ht="12.75" customHeight="1">
      <c r="A44" s="124"/>
      <c r="B44" s="111"/>
      <c r="C44" s="111"/>
      <c r="D44" s="8" t="s">
        <v>139</v>
      </c>
      <c r="E44" s="113"/>
      <c r="F44" s="113"/>
      <c r="G44" s="9">
        <v>0</v>
      </c>
      <c r="H44" s="9">
        <v>0</v>
      </c>
      <c r="I44" s="8" t="s">
        <v>23</v>
      </c>
      <c r="J44" s="118"/>
    </row>
    <row r="45" spans="1:10">
      <c r="A45" s="124"/>
      <c r="B45" s="35" t="s">
        <v>56</v>
      </c>
      <c r="C45" s="35" t="s">
        <v>56</v>
      </c>
      <c r="D45" s="95" t="s">
        <v>153</v>
      </c>
      <c r="E45" s="8" t="str">
        <f>DEC2HEX(HEX2DEC(E43)+F43,4)</f>
        <v>07E0</v>
      </c>
      <c r="F45" s="8">
        <v>16</v>
      </c>
      <c r="G45" s="9">
        <v>0</v>
      </c>
      <c r="H45" s="9">
        <v>0</v>
      </c>
      <c r="I45" s="8" t="s">
        <v>17</v>
      </c>
      <c r="J45" s="92" t="s">
        <v>154</v>
      </c>
    </row>
    <row r="46" spans="1:10" ht="24">
      <c r="A46" s="124"/>
      <c r="B46" s="35" t="s">
        <v>56</v>
      </c>
      <c r="C46" s="35" t="s">
        <v>56</v>
      </c>
      <c r="D46" s="96" t="s">
        <v>155</v>
      </c>
      <c r="E46" s="8" t="str">
        <f>DEC2HEX(HEX2DEC(E45)+F45,4)</f>
        <v>07F0</v>
      </c>
      <c r="F46" s="33">
        <v>12</v>
      </c>
      <c r="G46" s="27">
        <v>0</v>
      </c>
      <c r="H46" s="27">
        <v>0</v>
      </c>
      <c r="I46" s="33" t="s">
        <v>15</v>
      </c>
      <c r="J46" s="34" t="s">
        <v>156</v>
      </c>
    </row>
    <row r="47" spans="1:10" ht="13.5" thickBot="1">
      <c r="A47" s="125"/>
      <c r="B47" s="12" t="s">
        <v>78</v>
      </c>
      <c r="C47" s="12" t="s">
        <v>78</v>
      </c>
      <c r="D47" s="14" t="s">
        <v>78</v>
      </c>
      <c r="E47" s="94" t="str">
        <f>DEC2HEX(HEX2DEC(E46)+F46,4)</f>
        <v>07FC</v>
      </c>
      <c r="F47" s="93">
        <v>4</v>
      </c>
      <c r="G47" s="14">
        <v>4294967295</v>
      </c>
      <c r="H47" s="14" t="s">
        <v>79</v>
      </c>
      <c r="I47" s="12" t="s">
        <v>17</v>
      </c>
      <c r="J47" s="15" t="s">
        <v>157</v>
      </c>
    </row>
    <row r="48" spans="1:10" ht="13.5" thickTop="1">
      <c r="B48" s="29" t="s">
        <v>158</v>
      </c>
    </row>
  </sheetData>
  <customSheetViews>
    <customSheetView guid="{8C5435F6-07C7-4500-A606-6BFF83ACC092}">
      <selection activeCell="B5" sqref="B5:J5"/>
      <pageMargins left="0" right="0" top="0" bottom="0" header="0" footer="0"/>
      <pageSetup orientation="portrait" horizontalDpi="4294967295" verticalDpi="4294967295" r:id="rId1"/>
    </customSheetView>
  </customSheetViews>
  <mergeCells count="39">
    <mergeCell ref="B39:B44"/>
    <mergeCell ref="C43:C44"/>
    <mergeCell ref="E43:E44"/>
    <mergeCell ref="F43:F44"/>
    <mergeCell ref="J43:J44"/>
    <mergeCell ref="C41:C42"/>
    <mergeCell ref="E41:E42"/>
    <mergeCell ref="F41:F42"/>
    <mergeCell ref="B33:B38"/>
    <mergeCell ref="C37:C38"/>
    <mergeCell ref="E37:E38"/>
    <mergeCell ref="F37:F38"/>
    <mergeCell ref="J37:J38"/>
    <mergeCell ref="A1:J1"/>
    <mergeCell ref="C29:C30"/>
    <mergeCell ref="C23:C24"/>
    <mergeCell ref="J23:J24"/>
    <mergeCell ref="J29:J30"/>
    <mergeCell ref="A7:A47"/>
    <mergeCell ref="E23:E24"/>
    <mergeCell ref="F23:F24"/>
    <mergeCell ref="F29:F30"/>
    <mergeCell ref="E29:E30"/>
    <mergeCell ref="C35:C36"/>
    <mergeCell ref="J35:J36"/>
    <mergeCell ref="B21:B26"/>
    <mergeCell ref="J41:J42"/>
    <mergeCell ref="E35:E36"/>
    <mergeCell ref="F35:F36"/>
    <mergeCell ref="B27:B32"/>
    <mergeCell ref="E31:E32"/>
    <mergeCell ref="B16:B19"/>
    <mergeCell ref="J31:J32"/>
    <mergeCell ref="C25:C26"/>
    <mergeCell ref="E25:E26"/>
    <mergeCell ref="F25:F26"/>
    <mergeCell ref="F31:F32"/>
    <mergeCell ref="J25:J26"/>
    <mergeCell ref="C31:C32"/>
  </mergeCells>
  <phoneticPr fontId="4" type="noConversion"/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93"/>
  <sheetViews>
    <sheetView topLeftCell="A52" workbookViewId="0">
      <selection activeCell="J70" sqref="J70"/>
    </sheetView>
  </sheetViews>
  <sheetFormatPr defaultRowHeight="13.5"/>
  <cols>
    <col min="1" max="1" width="16.375" customWidth="1"/>
    <col min="2" max="2" width="17.125" customWidth="1"/>
    <col min="3" max="3" width="10.375" customWidth="1"/>
    <col min="4" max="4" width="10.5" customWidth="1"/>
    <col min="6" max="6" width="11.25" customWidth="1"/>
    <col min="7" max="7" width="40.75" customWidth="1"/>
  </cols>
  <sheetData>
    <row r="2" spans="1:10" ht="14.25" thickBot="1">
      <c r="A2" s="97" t="s">
        <v>159</v>
      </c>
    </row>
    <row r="3" spans="1:10" ht="16.5" thickTop="1" thickBot="1">
      <c r="A3" s="70"/>
      <c r="B3" s="160" t="s">
        <v>160</v>
      </c>
      <c r="C3" s="161"/>
      <c r="D3" s="162"/>
      <c r="E3" s="163" t="s">
        <v>161</v>
      </c>
      <c r="F3" s="164"/>
      <c r="G3" s="165"/>
    </row>
    <row r="4" spans="1:10" ht="60.75" thickBot="1">
      <c r="A4" s="71" t="s">
        <v>162</v>
      </c>
      <c r="B4" s="72" t="s">
        <v>163</v>
      </c>
      <c r="C4" s="73" t="s">
        <v>164</v>
      </c>
      <c r="D4" s="72" t="s">
        <v>165</v>
      </c>
      <c r="E4" s="72" t="s">
        <v>163</v>
      </c>
      <c r="F4" s="74" t="s">
        <v>164</v>
      </c>
      <c r="G4" s="75" t="s">
        <v>165</v>
      </c>
    </row>
    <row r="5" spans="1:10" ht="16.5" thickTop="1" thickBot="1">
      <c r="A5" s="79" t="s">
        <v>166</v>
      </c>
      <c r="B5" s="80" t="s">
        <v>167</v>
      </c>
      <c r="C5" s="80" t="s">
        <v>167</v>
      </c>
      <c r="D5" s="80" t="s">
        <v>168</v>
      </c>
      <c r="E5" s="80" t="s">
        <v>167</v>
      </c>
      <c r="F5" s="80" t="s">
        <v>69</v>
      </c>
      <c r="G5" s="81" t="s">
        <v>15</v>
      </c>
    </row>
    <row r="6" spans="1:10" ht="15.75" thickBot="1">
      <c r="A6" s="82" t="s">
        <v>169</v>
      </c>
      <c r="B6" s="83" t="s">
        <v>170</v>
      </c>
      <c r="C6" s="83" t="s">
        <v>69</v>
      </c>
      <c r="D6" s="83" t="s">
        <v>15</v>
      </c>
      <c r="E6" s="83" t="s">
        <v>170</v>
      </c>
      <c r="F6" s="83" t="s">
        <v>171</v>
      </c>
      <c r="G6" s="84" t="s">
        <v>168</v>
      </c>
    </row>
    <row r="7" spans="1:10" ht="15.75" thickBot="1">
      <c r="A7" s="82" t="s">
        <v>172</v>
      </c>
      <c r="B7" s="83" t="s">
        <v>173</v>
      </c>
      <c r="C7" s="83" t="s">
        <v>69</v>
      </c>
      <c r="D7" s="83" t="s">
        <v>15</v>
      </c>
      <c r="E7" s="83" t="s">
        <v>173</v>
      </c>
      <c r="F7" s="83" t="s">
        <v>167</v>
      </c>
      <c r="G7" s="85" t="s">
        <v>174</v>
      </c>
    </row>
    <row r="8" spans="1:10" ht="45.75" thickBot="1">
      <c r="A8" s="86" t="s">
        <v>175</v>
      </c>
      <c r="B8" s="83" t="s">
        <v>176</v>
      </c>
      <c r="C8" s="83" t="s">
        <v>69</v>
      </c>
      <c r="D8" s="83" t="s">
        <v>15</v>
      </c>
      <c r="E8" s="83" t="s">
        <v>176</v>
      </c>
      <c r="F8" s="83" t="s">
        <v>69</v>
      </c>
      <c r="G8" s="84" t="s">
        <v>15</v>
      </c>
    </row>
    <row r="9" spans="1:10" ht="15.75" thickBot="1">
      <c r="A9" s="82" t="s">
        <v>177</v>
      </c>
      <c r="B9" s="83" t="s">
        <v>178</v>
      </c>
      <c r="C9" s="83" t="s">
        <v>179</v>
      </c>
      <c r="D9" s="83" t="s">
        <v>180</v>
      </c>
      <c r="E9" s="83" t="s">
        <v>178</v>
      </c>
      <c r="F9" s="83" t="s">
        <v>69</v>
      </c>
      <c r="G9" s="84" t="s">
        <v>15</v>
      </c>
    </row>
    <row r="10" spans="1:10" ht="15.75" thickBot="1">
      <c r="A10" s="82" t="s">
        <v>181</v>
      </c>
      <c r="B10" s="83" t="s">
        <v>182</v>
      </c>
      <c r="C10" s="83" t="s">
        <v>69</v>
      </c>
      <c r="D10" s="83" t="s">
        <v>15</v>
      </c>
      <c r="E10" s="83" t="s">
        <v>182</v>
      </c>
      <c r="F10" s="83" t="s">
        <v>69</v>
      </c>
      <c r="G10" s="84" t="s">
        <v>15</v>
      </c>
    </row>
    <row r="11" spans="1:10" ht="15.75" thickBot="1">
      <c r="A11" s="82" t="s">
        <v>183</v>
      </c>
      <c r="B11" s="83" t="s">
        <v>184</v>
      </c>
      <c r="C11" s="83" t="s">
        <v>69</v>
      </c>
      <c r="D11" s="83" t="s">
        <v>15</v>
      </c>
      <c r="E11" s="83" t="s">
        <v>184</v>
      </c>
      <c r="F11" s="83" t="s">
        <v>69</v>
      </c>
      <c r="G11" s="84" t="s">
        <v>15</v>
      </c>
    </row>
    <row r="12" spans="1:10" ht="15.75" thickBot="1">
      <c r="A12" s="82" t="s">
        <v>185</v>
      </c>
      <c r="B12" s="83" t="s">
        <v>186</v>
      </c>
      <c r="C12" s="83" t="s">
        <v>69</v>
      </c>
      <c r="D12" s="83" t="s">
        <v>15</v>
      </c>
      <c r="E12" s="83" t="s">
        <v>186</v>
      </c>
      <c r="F12" s="83" t="s">
        <v>187</v>
      </c>
      <c r="G12" s="84" t="s">
        <v>188</v>
      </c>
    </row>
    <row r="13" spans="1:10" ht="15" customHeight="1" thickBot="1">
      <c r="A13" s="87" t="s">
        <v>189</v>
      </c>
      <c r="B13" s="88" t="s">
        <v>190</v>
      </c>
      <c r="C13" s="89" t="s">
        <v>191</v>
      </c>
      <c r="D13" s="90"/>
      <c r="E13" s="90" t="s">
        <v>190</v>
      </c>
      <c r="F13" s="91" t="s">
        <v>192</v>
      </c>
      <c r="G13" s="90"/>
    </row>
    <row r="14" spans="1:10" ht="15">
      <c r="A14" s="76"/>
      <c r="B14" s="77"/>
      <c r="C14" s="78"/>
      <c r="D14" s="77"/>
      <c r="E14" s="77"/>
      <c r="F14" s="76"/>
      <c r="G14" s="77"/>
      <c r="I14">
        <v>500</v>
      </c>
      <c r="J14">
        <f>I14/4096*60</f>
        <v>7.32421875</v>
      </c>
    </row>
    <row r="15" spans="1:10">
      <c r="I15">
        <v>1000</v>
      </c>
      <c r="J15">
        <f t="shared" ref="J15:J18" si="0">I15/4096*60</f>
        <v>14.6484375</v>
      </c>
    </row>
    <row r="16" spans="1:10" ht="14.25" thickBot="1">
      <c r="A16" s="69" t="s">
        <v>193</v>
      </c>
      <c r="I16">
        <v>2000</v>
      </c>
      <c r="J16">
        <f t="shared" si="0"/>
        <v>29.296875</v>
      </c>
    </row>
    <row r="17" spans="1:10">
      <c r="A17" s="142" t="s">
        <v>194</v>
      </c>
      <c r="B17" s="144" t="s">
        <v>195</v>
      </c>
      <c r="C17" s="146" t="s">
        <v>196</v>
      </c>
      <c r="D17" s="146" t="s">
        <v>197</v>
      </c>
      <c r="E17" s="40" t="s">
        <v>198</v>
      </c>
      <c r="F17" s="40" t="s">
        <v>199</v>
      </c>
      <c r="G17" s="146" t="s">
        <v>162</v>
      </c>
      <c r="I17">
        <v>3000</v>
      </c>
      <c r="J17">
        <f t="shared" si="0"/>
        <v>43.9453125</v>
      </c>
    </row>
    <row r="18" spans="1:10" ht="14.25" thickBot="1">
      <c r="A18" s="143"/>
      <c r="B18" s="145"/>
      <c r="C18" s="147"/>
      <c r="D18" s="147"/>
      <c r="E18" s="41" t="s">
        <v>200</v>
      </c>
      <c r="F18" s="41" t="s">
        <v>201</v>
      </c>
      <c r="G18" s="147"/>
      <c r="I18">
        <v>3500</v>
      </c>
      <c r="J18">
        <f t="shared" si="0"/>
        <v>51.26953125</v>
      </c>
    </row>
    <row r="19" spans="1:10" ht="14.25" thickBot="1">
      <c r="A19" s="42" t="s">
        <v>167</v>
      </c>
      <c r="B19" s="43" t="s">
        <v>202</v>
      </c>
      <c r="C19" s="44">
        <v>1</v>
      </c>
      <c r="D19" s="44">
        <v>0</v>
      </c>
      <c r="E19" s="45" t="s">
        <v>203</v>
      </c>
      <c r="F19" s="45">
        <v>2</v>
      </c>
      <c r="G19" s="43" t="s">
        <v>204</v>
      </c>
    </row>
    <row r="20" spans="1:10" ht="16.5" thickBot="1">
      <c r="A20" s="42" t="s">
        <v>170</v>
      </c>
      <c r="B20" s="43" t="s">
        <v>205</v>
      </c>
      <c r="C20" s="44">
        <v>1</v>
      </c>
      <c r="D20" s="44">
        <v>0</v>
      </c>
      <c r="E20" s="45" t="s">
        <v>203</v>
      </c>
      <c r="F20" s="45">
        <v>2</v>
      </c>
      <c r="G20" s="43" t="s">
        <v>206</v>
      </c>
    </row>
    <row r="21" spans="1:10" ht="16.5" thickBot="1">
      <c r="A21" s="42" t="s">
        <v>173</v>
      </c>
      <c r="B21" s="43" t="s">
        <v>207</v>
      </c>
      <c r="C21" s="44">
        <v>1</v>
      </c>
      <c r="D21" s="44">
        <v>0</v>
      </c>
      <c r="E21" s="45" t="s">
        <v>203</v>
      </c>
      <c r="F21" s="45">
        <v>2</v>
      </c>
      <c r="G21" s="43" t="s">
        <v>208</v>
      </c>
    </row>
    <row r="22" spans="1:10" ht="27.75" thickBot="1">
      <c r="A22" s="42" t="s">
        <v>176</v>
      </c>
      <c r="B22" s="43" t="s">
        <v>209</v>
      </c>
      <c r="C22" s="44">
        <v>1</v>
      </c>
      <c r="D22" s="44">
        <v>0</v>
      </c>
      <c r="E22" s="45" t="s">
        <v>203</v>
      </c>
      <c r="F22" s="45">
        <v>16</v>
      </c>
      <c r="G22" s="43" t="s">
        <v>210</v>
      </c>
    </row>
    <row r="23" spans="1:10" ht="27.75" thickBot="1">
      <c r="A23" s="42" t="s">
        <v>178</v>
      </c>
      <c r="B23" s="43" t="s">
        <v>211</v>
      </c>
      <c r="C23" s="44">
        <v>1</v>
      </c>
      <c r="D23" s="44">
        <v>0</v>
      </c>
      <c r="E23" s="45" t="s">
        <v>203</v>
      </c>
      <c r="F23" s="45">
        <v>16</v>
      </c>
      <c r="G23" s="43" t="s">
        <v>212</v>
      </c>
    </row>
    <row r="24" spans="1:10">
      <c r="A24" s="151" t="s">
        <v>182</v>
      </c>
      <c r="B24" s="148" t="s">
        <v>213</v>
      </c>
      <c r="C24" s="154">
        <v>1</v>
      </c>
      <c r="D24" s="157">
        <v>0</v>
      </c>
      <c r="E24" s="148" t="s">
        <v>203</v>
      </c>
      <c r="F24" s="148">
        <v>4</v>
      </c>
      <c r="G24" s="47" t="s">
        <v>214</v>
      </c>
    </row>
    <row r="25" spans="1:10">
      <c r="A25" s="152"/>
      <c r="B25" s="149"/>
      <c r="C25" s="155"/>
      <c r="D25" s="158"/>
      <c r="E25" s="149"/>
      <c r="F25" s="149"/>
      <c r="G25" s="47" t="s">
        <v>215</v>
      </c>
    </row>
    <row r="26" spans="1:10" ht="14.25" thickBot="1">
      <c r="A26" s="153"/>
      <c r="B26" s="150"/>
      <c r="C26" s="156"/>
      <c r="D26" s="159"/>
      <c r="E26" s="150"/>
      <c r="F26" s="150"/>
      <c r="G26" s="48" t="s">
        <v>216</v>
      </c>
    </row>
    <row r="27" spans="1:10">
      <c r="A27" s="151" t="s">
        <v>184</v>
      </c>
      <c r="B27" s="148" t="s">
        <v>217</v>
      </c>
      <c r="C27" s="154">
        <v>1</v>
      </c>
      <c r="D27" s="157">
        <v>0</v>
      </c>
      <c r="E27" s="148" t="s">
        <v>203</v>
      </c>
      <c r="F27" s="148">
        <v>4</v>
      </c>
      <c r="G27" s="47" t="s">
        <v>214</v>
      </c>
    </row>
    <row r="28" spans="1:10">
      <c r="A28" s="152"/>
      <c r="B28" s="149"/>
      <c r="C28" s="155"/>
      <c r="D28" s="158"/>
      <c r="E28" s="149"/>
      <c r="F28" s="149"/>
      <c r="G28" s="47" t="s">
        <v>215</v>
      </c>
    </row>
    <row r="29" spans="1:10" ht="14.25" thickBot="1">
      <c r="A29" s="153"/>
      <c r="B29" s="150"/>
      <c r="C29" s="156"/>
      <c r="D29" s="159"/>
      <c r="E29" s="150"/>
      <c r="F29" s="150"/>
      <c r="G29" s="48" t="s">
        <v>216</v>
      </c>
    </row>
    <row r="30" spans="1:10">
      <c r="A30" s="151" t="s">
        <v>186</v>
      </c>
      <c r="B30" s="148" t="s">
        <v>218</v>
      </c>
      <c r="C30" s="154">
        <v>1</v>
      </c>
      <c r="D30" s="157">
        <v>0</v>
      </c>
      <c r="E30" s="148" t="s">
        <v>203</v>
      </c>
      <c r="F30" s="148">
        <v>1</v>
      </c>
      <c r="G30" s="47" t="s">
        <v>219</v>
      </c>
    </row>
    <row r="31" spans="1:10">
      <c r="A31" s="152"/>
      <c r="B31" s="149"/>
      <c r="C31" s="155"/>
      <c r="D31" s="158"/>
      <c r="E31" s="149"/>
      <c r="F31" s="149"/>
      <c r="G31" s="47" t="s">
        <v>220</v>
      </c>
    </row>
    <row r="32" spans="1:10">
      <c r="A32" s="152"/>
      <c r="B32" s="149"/>
      <c r="C32" s="155"/>
      <c r="D32" s="158"/>
      <c r="E32" s="149"/>
      <c r="F32" s="149"/>
      <c r="G32" s="47" t="s">
        <v>221</v>
      </c>
    </row>
    <row r="33" spans="1:7" ht="14.25" thickBot="1">
      <c r="A33" s="153"/>
      <c r="B33" s="150"/>
      <c r="C33" s="156"/>
      <c r="D33" s="159"/>
      <c r="E33" s="150"/>
      <c r="F33" s="150"/>
      <c r="G33" s="48" t="s">
        <v>222</v>
      </c>
    </row>
    <row r="34" spans="1:7" ht="14.25" thickBot="1">
      <c r="A34" s="42" t="s">
        <v>223</v>
      </c>
      <c r="B34" s="43" t="s">
        <v>224</v>
      </c>
      <c r="C34" s="44"/>
      <c r="D34" s="48"/>
      <c r="E34" s="43"/>
      <c r="F34" s="43"/>
      <c r="G34" s="43" t="s">
        <v>225</v>
      </c>
    </row>
    <row r="35" spans="1:7" ht="135.75" thickBot="1">
      <c r="A35" s="42" t="s">
        <v>226</v>
      </c>
      <c r="B35" s="43" t="s">
        <v>227</v>
      </c>
      <c r="C35" s="44" t="s">
        <v>228</v>
      </c>
      <c r="D35" s="48">
        <v>0</v>
      </c>
      <c r="E35" s="43" t="s">
        <v>203</v>
      </c>
      <c r="F35" s="43">
        <v>4</v>
      </c>
      <c r="G35" s="43" t="s">
        <v>229</v>
      </c>
    </row>
    <row r="36" spans="1:7" ht="27.75" thickBot="1">
      <c r="A36" s="42" t="s">
        <v>230</v>
      </c>
      <c r="B36" s="43" t="s">
        <v>231</v>
      </c>
      <c r="C36" s="44">
        <v>1</v>
      </c>
      <c r="D36" s="48">
        <v>0</v>
      </c>
      <c r="E36" s="43" t="s">
        <v>203</v>
      </c>
      <c r="F36" s="43">
        <v>2</v>
      </c>
      <c r="G36" s="43" t="s">
        <v>232</v>
      </c>
    </row>
    <row r="37" spans="1:7" ht="27.75" thickBot="1">
      <c r="A37" s="42" t="s">
        <v>233</v>
      </c>
      <c r="B37" s="43" t="s">
        <v>234</v>
      </c>
      <c r="C37" s="44">
        <v>1</v>
      </c>
      <c r="D37" s="48">
        <v>0</v>
      </c>
      <c r="E37" s="43" t="s">
        <v>203</v>
      </c>
      <c r="F37" s="43">
        <v>2</v>
      </c>
      <c r="G37" s="43" t="s">
        <v>235</v>
      </c>
    </row>
    <row r="38" spans="1:7" ht="27.75" thickBot="1">
      <c r="A38" s="42" t="s">
        <v>236</v>
      </c>
      <c r="B38" s="43" t="s">
        <v>237</v>
      </c>
      <c r="C38" s="44">
        <v>1</v>
      </c>
      <c r="D38" s="48">
        <v>0</v>
      </c>
      <c r="E38" s="43" t="s">
        <v>203</v>
      </c>
      <c r="F38" s="43">
        <v>8</v>
      </c>
      <c r="G38" s="43" t="s">
        <v>238</v>
      </c>
    </row>
    <row r="39" spans="1:7" ht="14.25" thickBot="1">
      <c r="A39" s="151" t="s">
        <v>239</v>
      </c>
      <c r="B39" s="148" t="s">
        <v>240</v>
      </c>
      <c r="C39" s="154">
        <v>1</v>
      </c>
      <c r="D39" s="48">
        <v>0</v>
      </c>
      <c r="E39" s="43" t="s">
        <v>203</v>
      </c>
      <c r="F39" s="43">
        <v>4</v>
      </c>
      <c r="G39" s="43" t="s">
        <v>241</v>
      </c>
    </row>
    <row r="40" spans="1:7" ht="14.25" thickBot="1">
      <c r="A40" s="153"/>
      <c r="B40" s="150"/>
      <c r="C40" s="156"/>
      <c r="D40" s="48">
        <v>1</v>
      </c>
      <c r="E40" s="43" t="s">
        <v>242</v>
      </c>
      <c r="F40" s="43">
        <v>4</v>
      </c>
      <c r="G40" s="43" t="s">
        <v>243</v>
      </c>
    </row>
    <row r="41" spans="1:7" ht="41.25" thickBot="1">
      <c r="A41" s="42" t="s">
        <v>244</v>
      </c>
      <c r="B41" s="43" t="s">
        <v>245</v>
      </c>
      <c r="C41" s="44">
        <v>1</v>
      </c>
      <c r="D41" s="48">
        <v>0</v>
      </c>
      <c r="E41" s="43" t="s">
        <v>203</v>
      </c>
      <c r="F41" s="43">
        <v>32</v>
      </c>
      <c r="G41" s="43" t="s">
        <v>246</v>
      </c>
    </row>
    <row r="42" spans="1:7" ht="54.75" thickBot="1">
      <c r="A42" s="151" t="s">
        <v>247</v>
      </c>
      <c r="B42" s="148" t="s">
        <v>248</v>
      </c>
      <c r="C42" s="154" t="s">
        <v>249</v>
      </c>
      <c r="D42" s="48">
        <v>0</v>
      </c>
      <c r="E42" s="43" t="s">
        <v>203</v>
      </c>
      <c r="F42" s="43">
        <v>4</v>
      </c>
      <c r="G42" s="43" t="s">
        <v>250</v>
      </c>
    </row>
    <row r="43" spans="1:7" ht="41.25" thickBot="1">
      <c r="A43" s="152"/>
      <c r="B43" s="149"/>
      <c r="C43" s="155"/>
      <c r="D43" s="157">
        <v>1</v>
      </c>
      <c r="E43" s="43" t="s">
        <v>203</v>
      </c>
      <c r="F43" s="43">
        <v>4</v>
      </c>
      <c r="G43" s="43" t="s">
        <v>251</v>
      </c>
    </row>
    <row r="44" spans="1:7" ht="81">
      <c r="A44" s="152"/>
      <c r="B44" s="149"/>
      <c r="C44" s="155"/>
      <c r="D44" s="158"/>
      <c r="E44" s="148" t="s">
        <v>252</v>
      </c>
      <c r="F44" s="148">
        <v>12</v>
      </c>
      <c r="G44" s="46" t="s">
        <v>253</v>
      </c>
    </row>
    <row r="45" spans="1:7">
      <c r="A45" s="152"/>
      <c r="B45" s="149"/>
      <c r="C45" s="155"/>
      <c r="D45" s="158"/>
      <c r="E45" s="149"/>
      <c r="F45" s="149"/>
      <c r="G45" s="46" t="s">
        <v>254</v>
      </c>
    </row>
    <row r="46" spans="1:7">
      <c r="A46" s="152"/>
      <c r="B46" s="149"/>
      <c r="C46" s="155"/>
      <c r="D46" s="158"/>
      <c r="E46" s="149"/>
      <c r="F46" s="149"/>
      <c r="G46" s="46" t="s">
        <v>255</v>
      </c>
    </row>
    <row r="47" spans="1:7">
      <c r="A47" s="152"/>
      <c r="B47" s="149"/>
      <c r="C47" s="155"/>
      <c r="D47" s="158"/>
      <c r="E47" s="149"/>
      <c r="F47" s="149"/>
      <c r="G47" s="46" t="s">
        <v>256</v>
      </c>
    </row>
    <row r="48" spans="1:7">
      <c r="A48" s="152"/>
      <c r="B48" s="149"/>
      <c r="C48" s="155"/>
      <c r="D48" s="158"/>
      <c r="E48" s="149"/>
      <c r="F48" s="149"/>
      <c r="G48" s="46" t="s">
        <v>257</v>
      </c>
    </row>
    <row r="49" spans="1:7" ht="14.25" thickBot="1">
      <c r="A49" s="152"/>
      <c r="B49" s="149"/>
      <c r="C49" s="155"/>
      <c r="D49" s="158"/>
      <c r="E49" s="149"/>
      <c r="F49" s="149"/>
      <c r="G49" s="46" t="s">
        <v>258</v>
      </c>
    </row>
    <row r="50" spans="1:7" ht="41.25" thickBot="1">
      <c r="A50" s="151" t="s">
        <v>259</v>
      </c>
      <c r="B50" s="148" t="s">
        <v>260</v>
      </c>
      <c r="C50" s="154" t="s">
        <v>249</v>
      </c>
      <c r="D50" s="51">
        <v>0</v>
      </c>
      <c r="E50" s="52" t="s">
        <v>203</v>
      </c>
      <c r="F50" s="52">
        <v>2</v>
      </c>
      <c r="G50" s="52" t="s">
        <v>261</v>
      </c>
    </row>
    <row r="51" spans="1:7" ht="27.75" thickBot="1">
      <c r="A51" s="152"/>
      <c r="B51" s="149"/>
      <c r="C51" s="155"/>
      <c r="D51" s="157">
        <v>1</v>
      </c>
      <c r="E51" s="43" t="s">
        <v>203</v>
      </c>
      <c r="F51" s="43">
        <v>2</v>
      </c>
      <c r="G51" s="43" t="s">
        <v>262</v>
      </c>
    </row>
    <row r="52" spans="1:7" ht="27">
      <c r="A52" s="152"/>
      <c r="B52" s="149"/>
      <c r="C52" s="155"/>
      <c r="D52" s="158"/>
      <c r="E52" s="148" t="s">
        <v>252</v>
      </c>
      <c r="F52" s="148">
        <v>2</v>
      </c>
      <c r="G52" s="46" t="s">
        <v>263</v>
      </c>
    </row>
    <row r="53" spans="1:7">
      <c r="A53" s="152"/>
      <c r="B53" s="149"/>
      <c r="C53" s="155"/>
      <c r="D53" s="158"/>
      <c r="E53" s="149"/>
      <c r="F53" s="149"/>
      <c r="G53" s="46" t="s">
        <v>264</v>
      </c>
    </row>
    <row r="54" spans="1:7">
      <c r="A54" s="152"/>
      <c r="B54" s="149"/>
      <c r="C54" s="155"/>
      <c r="D54" s="158"/>
      <c r="E54" s="149"/>
      <c r="F54" s="149"/>
      <c r="G54" s="46" t="s">
        <v>265</v>
      </c>
    </row>
    <row r="55" spans="1:7">
      <c r="A55" s="152"/>
      <c r="B55" s="149"/>
      <c r="C55" s="155"/>
      <c r="D55" s="158"/>
      <c r="E55" s="149"/>
      <c r="F55" s="149"/>
      <c r="G55" s="46" t="s">
        <v>266</v>
      </c>
    </row>
    <row r="56" spans="1:7">
      <c r="A56" s="152"/>
      <c r="B56" s="149"/>
      <c r="C56" s="155"/>
      <c r="D56" s="158"/>
      <c r="E56" s="149"/>
      <c r="F56" s="149"/>
      <c r="G56" s="46" t="s">
        <v>267</v>
      </c>
    </row>
    <row r="57" spans="1:7">
      <c r="A57" s="152"/>
      <c r="B57" s="149"/>
      <c r="C57" s="155"/>
      <c r="D57" s="158"/>
      <c r="E57" s="149"/>
      <c r="F57" s="149"/>
      <c r="G57" s="46" t="s">
        <v>268</v>
      </c>
    </row>
    <row r="58" spans="1:7" ht="14.25" thickBot="1">
      <c r="A58" s="153"/>
      <c r="B58" s="150"/>
      <c r="C58" s="156"/>
      <c r="D58" s="159"/>
      <c r="E58" s="150"/>
      <c r="F58" s="150"/>
      <c r="G58" s="43" t="s">
        <v>269</v>
      </c>
    </row>
    <row r="59" spans="1:7">
      <c r="A59" s="151" t="s">
        <v>270</v>
      </c>
      <c r="B59" s="148" t="s">
        <v>271</v>
      </c>
      <c r="C59" s="154" t="s">
        <v>249</v>
      </c>
      <c r="D59" s="157">
        <v>0</v>
      </c>
      <c r="E59" s="148" t="s">
        <v>203</v>
      </c>
      <c r="F59" s="148">
        <v>1</v>
      </c>
      <c r="G59" s="46" t="s">
        <v>272</v>
      </c>
    </row>
    <row r="60" spans="1:7">
      <c r="A60" s="152"/>
      <c r="B60" s="149"/>
      <c r="C60" s="155"/>
      <c r="D60" s="158"/>
      <c r="E60" s="149"/>
      <c r="F60" s="149"/>
      <c r="G60" s="46" t="s">
        <v>273</v>
      </c>
    </row>
    <row r="61" spans="1:7" ht="14.25" thickBot="1">
      <c r="A61" s="152"/>
      <c r="B61" s="149"/>
      <c r="C61" s="155"/>
      <c r="D61" s="159"/>
      <c r="E61" s="150"/>
      <c r="F61" s="150"/>
      <c r="G61" s="43" t="s">
        <v>274</v>
      </c>
    </row>
    <row r="62" spans="1:7" ht="54">
      <c r="A62" s="152"/>
      <c r="B62" s="149"/>
      <c r="C62" s="155"/>
      <c r="D62" s="157">
        <v>1</v>
      </c>
      <c r="E62" s="148" t="s">
        <v>203</v>
      </c>
      <c r="F62" s="148">
        <v>10</v>
      </c>
      <c r="G62" s="46" t="s">
        <v>275</v>
      </c>
    </row>
    <row r="63" spans="1:7" ht="14.25" thickBot="1">
      <c r="A63" s="152"/>
      <c r="B63" s="149"/>
      <c r="C63" s="155"/>
      <c r="D63" s="158"/>
      <c r="E63" s="150"/>
      <c r="F63" s="150"/>
      <c r="G63" s="43" t="s">
        <v>254</v>
      </c>
    </row>
    <row r="64" spans="1:7" ht="54">
      <c r="A64" s="152"/>
      <c r="B64" s="149"/>
      <c r="C64" s="155"/>
      <c r="D64" s="158"/>
      <c r="E64" s="148" t="s">
        <v>252</v>
      </c>
      <c r="F64" s="148">
        <v>17</v>
      </c>
      <c r="G64" s="46" t="s">
        <v>276</v>
      </c>
    </row>
    <row r="65" spans="1:7">
      <c r="A65" s="152"/>
      <c r="B65" s="149"/>
      <c r="C65" s="155"/>
      <c r="D65" s="158"/>
      <c r="E65" s="149"/>
      <c r="F65" s="149"/>
      <c r="G65" s="49" t="s">
        <v>277</v>
      </c>
    </row>
    <row r="66" spans="1:7">
      <c r="A66" s="152"/>
      <c r="B66" s="149"/>
      <c r="C66" s="155"/>
      <c r="D66" s="158"/>
      <c r="E66" s="149"/>
      <c r="F66" s="149"/>
      <c r="G66" s="49" t="s">
        <v>278</v>
      </c>
    </row>
    <row r="67" spans="1:7">
      <c r="A67" s="152"/>
      <c r="B67" s="149"/>
      <c r="C67" s="155"/>
      <c r="D67" s="158"/>
      <c r="E67" s="149"/>
      <c r="F67" s="149"/>
      <c r="G67" s="49" t="s">
        <v>279</v>
      </c>
    </row>
    <row r="68" spans="1:7">
      <c r="A68" s="152"/>
      <c r="B68" s="149"/>
      <c r="C68" s="155"/>
      <c r="D68" s="158"/>
      <c r="E68" s="149"/>
      <c r="F68" s="149"/>
      <c r="G68" s="49" t="s">
        <v>280</v>
      </c>
    </row>
    <row r="69" spans="1:7">
      <c r="A69" s="152"/>
      <c r="B69" s="149"/>
      <c r="C69" s="155"/>
      <c r="D69" s="158"/>
      <c r="E69" s="149"/>
      <c r="F69" s="149"/>
      <c r="G69" s="49" t="s">
        <v>281</v>
      </c>
    </row>
    <row r="70" spans="1:7" ht="14.25" thickBot="1">
      <c r="A70" s="153"/>
      <c r="B70" s="150"/>
      <c r="C70" s="156"/>
      <c r="D70" s="159"/>
      <c r="E70" s="150"/>
      <c r="F70" s="150"/>
      <c r="G70" s="43" t="s">
        <v>254</v>
      </c>
    </row>
    <row r="71" spans="1:7" ht="27">
      <c r="A71" s="151" t="s">
        <v>282</v>
      </c>
      <c r="B71" s="148" t="s">
        <v>283</v>
      </c>
      <c r="C71" s="154" t="s">
        <v>284</v>
      </c>
      <c r="D71" s="157">
        <v>0</v>
      </c>
      <c r="E71" s="148" t="s">
        <v>203</v>
      </c>
      <c r="F71" s="148">
        <v>1</v>
      </c>
      <c r="G71" s="46" t="s">
        <v>285</v>
      </c>
    </row>
    <row r="72" spans="1:7">
      <c r="A72" s="152"/>
      <c r="B72" s="149"/>
      <c r="C72" s="155"/>
      <c r="D72" s="158"/>
      <c r="E72" s="149"/>
      <c r="F72" s="149"/>
      <c r="G72" s="46" t="s">
        <v>286</v>
      </c>
    </row>
    <row r="73" spans="1:7" ht="14.25" thickBot="1">
      <c r="A73" s="152"/>
      <c r="B73" s="149"/>
      <c r="C73" s="155"/>
      <c r="D73" s="159"/>
      <c r="E73" s="150"/>
      <c r="F73" s="150"/>
      <c r="G73" s="43" t="s">
        <v>287</v>
      </c>
    </row>
    <row r="74" spans="1:7" ht="54.75" thickBot="1">
      <c r="A74" s="152"/>
      <c r="B74" s="149"/>
      <c r="C74" s="155"/>
      <c r="D74" s="157">
        <v>1</v>
      </c>
      <c r="E74" s="43" t="s">
        <v>203</v>
      </c>
      <c r="F74" s="43">
        <v>5</v>
      </c>
      <c r="G74" s="43" t="s">
        <v>288</v>
      </c>
    </row>
    <row r="75" spans="1:7" ht="54">
      <c r="A75" s="152"/>
      <c r="B75" s="149"/>
      <c r="C75" s="155"/>
      <c r="D75" s="158"/>
      <c r="E75" s="148" t="s">
        <v>252</v>
      </c>
      <c r="F75" s="148">
        <v>12</v>
      </c>
      <c r="G75" s="46" t="s">
        <v>289</v>
      </c>
    </row>
    <row r="76" spans="1:7">
      <c r="A76" s="152"/>
      <c r="B76" s="149"/>
      <c r="C76" s="155"/>
      <c r="D76" s="158"/>
      <c r="E76" s="149"/>
      <c r="F76" s="149"/>
      <c r="G76" s="49" t="s">
        <v>290</v>
      </c>
    </row>
    <row r="77" spans="1:7" ht="14.25" thickBot="1">
      <c r="A77" s="153"/>
      <c r="B77" s="150"/>
      <c r="C77" s="156"/>
      <c r="D77" s="159"/>
      <c r="E77" s="150"/>
      <c r="F77" s="150"/>
      <c r="G77" s="50" t="s">
        <v>291</v>
      </c>
    </row>
    <row r="78" spans="1:7" ht="27">
      <c r="A78" s="151" t="s">
        <v>292</v>
      </c>
      <c r="B78" s="148" t="s">
        <v>293</v>
      </c>
      <c r="C78" s="154">
        <v>1</v>
      </c>
      <c r="D78" s="157">
        <v>0</v>
      </c>
      <c r="E78" s="148" t="s">
        <v>203</v>
      </c>
      <c r="F78" s="148">
        <v>2</v>
      </c>
      <c r="G78" s="46" t="s">
        <v>294</v>
      </c>
    </row>
    <row r="79" spans="1:7">
      <c r="A79" s="152"/>
      <c r="B79" s="149"/>
      <c r="C79" s="155"/>
      <c r="D79" s="158"/>
      <c r="E79" s="149"/>
      <c r="F79" s="149"/>
      <c r="G79" s="46" t="s">
        <v>295</v>
      </c>
    </row>
    <row r="80" spans="1:7">
      <c r="A80" s="152"/>
      <c r="B80" s="149"/>
      <c r="C80" s="155"/>
      <c r="D80" s="158"/>
      <c r="E80" s="149"/>
      <c r="F80" s="149"/>
      <c r="G80" s="46" t="s">
        <v>296</v>
      </c>
    </row>
    <row r="81" spans="1:7">
      <c r="A81" s="152"/>
      <c r="B81" s="149"/>
      <c r="C81" s="155"/>
      <c r="D81" s="158"/>
      <c r="E81" s="149"/>
      <c r="F81" s="149"/>
      <c r="G81" s="46" t="s">
        <v>297</v>
      </c>
    </row>
    <row r="82" spans="1:7">
      <c r="A82" s="152"/>
      <c r="B82" s="149"/>
      <c r="C82" s="155"/>
      <c r="D82" s="158"/>
      <c r="E82" s="149"/>
      <c r="F82" s="149"/>
      <c r="G82" s="46" t="s">
        <v>298</v>
      </c>
    </row>
    <row r="83" spans="1:7">
      <c r="A83" s="152"/>
      <c r="B83" s="149"/>
      <c r="C83" s="155"/>
      <c r="D83" s="158"/>
      <c r="E83" s="149"/>
      <c r="F83" s="149"/>
      <c r="G83" s="46" t="s">
        <v>299</v>
      </c>
    </row>
    <row r="84" spans="1:7" ht="27">
      <c r="A84" s="152"/>
      <c r="B84" s="149"/>
      <c r="C84" s="155"/>
      <c r="D84" s="158"/>
      <c r="E84" s="149"/>
      <c r="F84" s="149"/>
      <c r="G84" s="46" t="s">
        <v>300</v>
      </c>
    </row>
    <row r="85" spans="1:7" ht="27.75" thickBot="1">
      <c r="A85" s="153"/>
      <c r="B85" s="150"/>
      <c r="C85" s="156"/>
      <c r="D85" s="159"/>
      <c r="E85" s="150"/>
      <c r="F85" s="150"/>
      <c r="G85" s="48" t="s">
        <v>301</v>
      </c>
    </row>
    <row r="86" spans="1:7" ht="27.75" thickBot="1">
      <c r="A86" s="42" t="s">
        <v>302</v>
      </c>
      <c r="B86" s="43" t="s">
        <v>303</v>
      </c>
      <c r="C86" s="44" t="s">
        <v>249</v>
      </c>
      <c r="D86" s="48">
        <v>0</v>
      </c>
      <c r="E86" s="43" t="s">
        <v>203</v>
      </c>
      <c r="F86" s="43">
        <v>4</v>
      </c>
      <c r="G86" s="43" t="s">
        <v>304</v>
      </c>
    </row>
    <row r="87" spans="1:7" ht="27.75" thickBot="1">
      <c r="A87" s="42"/>
      <c r="B87" s="43"/>
      <c r="C87" s="44"/>
      <c r="D87" s="48">
        <v>1</v>
      </c>
      <c r="E87" s="43" t="s">
        <v>203</v>
      </c>
      <c r="F87" s="43">
        <v>1</v>
      </c>
      <c r="G87" s="43" t="s">
        <v>305</v>
      </c>
    </row>
    <row r="88" spans="1:7" ht="27">
      <c r="A88" s="151"/>
      <c r="B88" s="148"/>
      <c r="C88" s="154"/>
      <c r="D88" s="157"/>
      <c r="E88" s="148" t="s">
        <v>252</v>
      </c>
      <c r="F88" s="148">
        <v>1</v>
      </c>
      <c r="G88" s="46" t="s">
        <v>306</v>
      </c>
    </row>
    <row r="89" spans="1:7" ht="14.25" thickBot="1">
      <c r="A89" s="153"/>
      <c r="B89" s="150"/>
      <c r="C89" s="156"/>
      <c r="D89" s="159"/>
      <c r="E89" s="150"/>
      <c r="F89" s="150"/>
      <c r="G89" s="43" t="s">
        <v>307</v>
      </c>
    </row>
    <row r="90" spans="1:7" ht="14.25" thickBot="1">
      <c r="A90" s="42" t="s">
        <v>308</v>
      </c>
      <c r="B90" s="43" t="s">
        <v>224</v>
      </c>
      <c r="C90" s="44"/>
      <c r="D90" s="48"/>
      <c r="E90" s="43"/>
      <c r="F90" s="43"/>
      <c r="G90" s="43" t="s">
        <v>225</v>
      </c>
    </row>
    <row r="91" spans="1:7" ht="14.25" thickBot="1">
      <c r="A91" s="151" t="s">
        <v>309</v>
      </c>
      <c r="B91" s="148" t="s">
        <v>310</v>
      </c>
      <c r="C91" s="154" t="s">
        <v>249</v>
      </c>
      <c r="D91" s="44">
        <v>0</v>
      </c>
      <c r="E91" s="45" t="s">
        <v>203</v>
      </c>
      <c r="F91" s="45">
        <v>1</v>
      </c>
      <c r="G91" s="43" t="s">
        <v>311</v>
      </c>
    </row>
    <row r="92" spans="1:7" ht="68.25" thickBot="1">
      <c r="A92" s="153"/>
      <c r="B92" s="150"/>
      <c r="C92" s="156"/>
      <c r="D92" s="44">
        <v>1</v>
      </c>
      <c r="E92" s="45" t="s">
        <v>242</v>
      </c>
      <c r="F92" s="45">
        <v>1</v>
      </c>
      <c r="G92" s="48" t="s">
        <v>312</v>
      </c>
    </row>
    <row r="93" spans="1:7" ht="14.25" thickBot="1">
      <c r="A93" s="42" t="s">
        <v>313</v>
      </c>
      <c r="B93" s="43" t="s">
        <v>224</v>
      </c>
      <c r="C93" s="44"/>
      <c r="D93" s="44"/>
      <c r="E93" s="45"/>
      <c r="F93" s="45"/>
      <c r="G93" s="43" t="s">
        <v>314</v>
      </c>
    </row>
  </sheetData>
  <customSheetViews>
    <customSheetView guid="{8C5435F6-07C7-4500-A606-6BFF83ACC092}" topLeftCell="A7">
      <selection activeCell="K6" sqref="K6"/>
      <pageMargins left="0" right="0" top="0" bottom="0" header="0" footer="0"/>
    </customSheetView>
  </customSheetViews>
  <mergeCells count="75">
    <mergeCell ref="B3:D3"/>
    <mergeCell ref="E3:G3"/>
    <mergeCell ref="A91:A92"/>
    <mergeCell ref="B91:B92"/>
    <mergeCell ref="C91:C92"/>
    <mergeCell ref="F88:F89"/>
    <mergeCell ref="A78:A85"/>
    <mergeCell ref="B78:B85"/>
    <mergeCell ref="C78:C85"/>
    <mergeCell ref="D78:D85"/>
    <mergeCell ref="E78:E85"/>
    <mergeCell ref="F78:F85"/>
    <mergeCell ref="A88:A89"/>
    <mergeCell ref="B88:B89"/>
    <mergeCell ref="C88:C89"/>
    <mergeCell ref="D88:D89"/>
    <mergeCell ref="E88:E89"/>
    <mergeCell ref="F71:F73"/>
    <mergeCell ref="D74:D77"/>
    <mergeCell ref="E75:E77"/>
    <mergeCell ref="F75:F77"/>
    <mergeCell ref="A59:A70"/>
    <mergeCell ref="B59:B70"/>
    <mergeCell ref="C59:C70"/>
    <mergeCell ref="D59:D61"/>
    <mergeCell ref="E59:E61"/>
    <mergeCell ref="A71:A77"/>
    <mergeCell ref="B71:B77"/>
    <mergeCell ref="C71:C77"/>
    <mergeCell ref="D71:D73"/>
    <mergeCell ref="E71:E73"/>
    <mergeCell ref="D43:D49"/>
    <mergeCell ref="E44:E49"/>
    <mergeCell ref="F44:F49"/>
    <mergeCell ref="F52:F58"/>
    <mergeCell ref="F64:F70"/>
    <mergeCell ref="D51:D58"/>
    <mergeCell ref="E52:E58"/>
    <mergeCell ref="D62:D70"/>
    <mergeCell ref="E62:E63"/>
    <mergeCell ref="F62:F63"/>
    <mergeCell ref="E64:E70"/>
    <mergeCell ref="F59:F61"/>
    <mergeCell ref="A42:A49"/>
    <mergeCell ref="B42:B49"/>
    <mergeCell ref="C42:C49"/>
    <mergeCell ref="A50:A58"/>
    <mergeCell ref="B50:B58"/>
    <mergeCell ref="C50:C58"/>
    <mergeCell ref="D30:D33"/>
    <mergeCell ref="E30:E33"/>
    <mergeCell ref="A39:A40"/>
    <mergeCell ref="B39:B40"/>
    <mergeCell ref="C39:C40"/>
    <mergeCell ref="F30:F33"/>
    <mergeCell ref="F24:F26"/>
    <mergeCell ref="A27:A29"/>
    <mergeCell ref="B27:B29"/>
    <mergeCell ref="C27:C29"/>
    <mergeCell ref="D27:D29"/>
    <mergeCell ref="E27:E29"/>
    <mergeCell ref="F27:F29"/>
    <mergeCell ref="A24:A26"/>
    <mergeCell ref="B24:B26"/>
    <mergeCell ref="C24:C26"/>
    <mergeCell ref="D24:D26"/>
    <mergeCell ref="E24:E26"/>
    <mergeCell ref="A30:A33"/>
    <mergeCell ref="B30:B33"/>
    <mergeCell ref="C30:C33"/>
    <mergeCell ref="A17:A18"/>
    <mergeCell ref="B17:B18"/>
    <mergeCell ref="C17:C18"/>
    <mergeCell ref="D17:D18"/>
    <mergeCell ref="G17:G18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74"/>
  <sheetViews>
    <sheetView topLeftCell="A58" workbookViewId="0">
      <selection activeCell="E78" sqref="E78"/>
    </sheetView>
  </sheetViews>
  <sheetFormatPr defaultRowHeight="13.5"/>
  <sheetData>
    <row r="2" spans="1:4">
      <c r="A2" s="97" t="s">
        <v>315</v>
      </c>
    </row>
    <row r="3" spans="1:4">
      <c r="A3" t="s">
        <v>316</v>
      </c>
      <c r="D3" t="s">
        <v>317</v>
      </c>
    </row>
    <row r="4" spans="1:4">
      <c r="A4" t="s">
        <v>318</v>
      </c>
      <c r="D4" t="s">
        <v>319</v>
      </c>
    </row>
    <row r="6" spans="1:4">
      <c r="A6" s="97" t="s">
        <v>320</v>
      </c>
    </row>
    <row r="7" spans="1:4">
      <c r="A7" s="97" t="s">
        <v>321</v>
      </c>
      <c r="D7" s="97" t="s">
        <v>322</v>
      </c>
    </row>
    <row r="8" spans="1:4">
      <c r="A8" s="97"/>
      <c r="D8" s="97" t="s">
        <v>323</v>
      </c>
    </row>
    <row r="9" spans="1:4">
      <c r="A9" s="97" t="s">
        <v>324</v>
      </c>
      <c r="D9" s="97" t="s">
        <v>325</v>
      </c>
    </row>
    <row r="10" spans="1:4">
      <c r="A10" t="s">
        <v>326</v>
      </c>
      <c r="D10" s="97" t="s">
        <v>327</v>
      </c>
    </row>
    <row r="11" spans="1:4">
      <c r="A11" t="s">
        <v>328</v>
      </c>
      <c r="D11" s="97" t="s">
        <v>329</v>
      </c>
    </row>
    <row r="12" spans="1:4">
      <c r="A12" t="s">
        <v>330</v>
      </c>
      <c r="D12" s="97" t="s">
        <v>331</v>
      </c>
    </row>
    <row r="13" spans="1:4">
      <c r="D13" s="97"/>
    </row>
    <row r="14" spans="1:4">
      <c r="A14" t="s">
        <v>332</v>
      </c>
      <c r="D14" t="s">
        <v>333</v>
      </c>
    </row>
    <row r="15" spans="1:4">
      <c r="A15" t="s">
        <v>334</v>
      </c>
      <c r="D15" t="s">
        <v>335</v>
      </c>
    </row>
    <row r="16" spans="1:4">
      <c r="A16" t="s">
        <v>336</v>
      </c>
      <c r="D16" t="s">
        <v>337</v>
      </c>
    </row>
    <row r="17" spans="1:4">
      <c r="A17" s="97" t="s">
        <v>338</v>
      </c>
      <c r="D17" s="97" t="s">
        <v>339</v>
      </c>
    </row>
    <row r="18" spans="1:4">
      <c r="A18" t="s">
        <v>340</v>
      </c>
      <c r="D18" s="97" t="s">
        <v>341</v>
      </c>
    </row>
    <row r="19" spans="1:4">
      <c r="D19" s="97" t="s">
        <v>342</v>
      </c>
    </row>
    <row r="20" spans="1:4">
      <c r="D20" s="97" t="s">
        <v>343</v>
      </c>
    </row>
    <row r="21" spans="1:4">
      <c r="A21" s="97" t="s">
        <v>344</v>
      </c>
      <c r="D21" s="97" t="s">
        <v>345</v>
      </c>
    </row>
    <row r="22" spans="1:4">
      <c r="A22" s="97"/>
      <c r="D22" s="97" t="s">
        <v>342</v>
      </c>
    </row>
    <row r="23" spans="1:4">
      <c r="A23" t="s">
        <v>346</v>
      </c>
      <c r="D23" t="s">
        <v>347</v>
      </c>
    </row>
    <row r="24" spans="1:4">
      <c r="D24" t="s">
        <v>348</v>
      </c>
    </row>
    <row r="25" spans="1:4">
      <c r="A25" t="s">
        <v>349</v>
      </c>
      <c r="D25" t="s">
        <v>350</v>
      </c>
    </row>
    <row r="26" spans="1:4">
      <c r="A26" t="s">
        <v>351</v>
      </c>
      <c r="D26" t="s">
        <v>352</v>
      </c>
    </row>
    <row r="27" spans="1:4">
      <c r="A27" s="97" t="s">
        <v>353</v>
      </c>
      <c r="D27" s="97" t="s">
        <v>354</v>
      </c>
    </row>
    <row r="28" spans="1:4">
      <c r="D28" s="97" t="s">
        <v>355</v>
      </c>
    </row>
    <row r="29" spans="1:4">
      <c r="A29" s="97" t="s">
        <v>356</v>
      </c>
      <c r="D29" t="s">
        <v>357</v>
      </c>
    </row>
    <row r="30" spans="1:4">
      <c r="A30" s="97"/>
      <c r="D30" s="97" t="s">
        <v>342</v>
      </c>
    </row>
    <row r="31" spans="1:4">
      <c r="D31" s="97" t="s">
        <v>358</v>
      </c>
    </row>
    <row r="32" spans="1:4">
      <c r="A32" s="97" t="s">
        <v>359</v>
      </c>
      <c r="D32" t="s">
        <v>360</v>
      </c>
    </row>
    <row r="33" spans="1:4">
      <c r="A33" s="97"/>
      <c r="D33" s="97" t="s">
        <v>342</v>
      </c>
    </row>
    <row r="34" spans="1:4">
      <c r="D34" s="97" t="s">
        <v>358</v>
      </c>
    </row>
    <row r="35" spans="1:4">
      <c r="A35" s="97" t="s">
        <v>361</v>
      </c>
      <c r="D35" t="s">
        <v>362</v>
      </c>
    </row>
    <row r="36" spans="1:4">
      <c r="A36" s="97"/>
      <c r="D36" s="97" t="s">
        <v>342</v>
      </c>
    </row>
    <row r="37" spans="1:4">
      <c r="D37" s="97" t="s">
        <v>363</v>
      </c>
    </row>
    <row r="38" spans="1:4">
      <c r="D38" s="97" t="s">
        <v>364</v>
      </c>
    </row>
    <row r="39" spans="1:4">
      <c r="A39" s="97" t="s">
        <v>365</v>
      </c>
      <c r="D39" t="s">
        <v>366</v>
      </c>
    </row>
    <row r="40" spans="1:4">
      <c r="D40" s="97" t="s">
        <v>342</v>
      </c>
    </row>
    <row r="41" spans="1:4">
      <c r="A41" s="97" t="s">
        <v>367</v>
      </c>
      <c r="D41" t="s">
        <v>368</v>
      </c>
    </row>
    <row r="42" spans="1:4">
      <c r="A42" s="97"/>
      <c r="D42" s="97" t="s">
        <v>342</v>
      </c>
    </row>
    <row r="43" spans="1:4">
      <c r="D43" t="s">
        <v>369</v>
      </c>
    </row>
    <row r="44" spans="1:4">
      <c r="D44" t="s">
        <v>370</v>
      </c>
    </row>
    <row r="45" spans="1:4">
      <c r="D45" t="s">
        <v>371</v>
      </c>
    </row>
    <row r="46" spans="1:4">
      <c r="D46" t="s">
        <v>372</v>
      </c>
    </row>
    <row r="47" spans="1:4">
      <c r="D47" t="s">
        <v>373</v>
      </c>
    </row>
    <row r="48" spans="1:4">
      <c r="A48" s="97" t="s">
        <v>374</v>
      </c>
    </row>
    <row r="49" spans="1:4">
      <c r="D49" t="s">
        <v>375</v>
      </c>
    </row>
    <row r="50" spans="1:4">
      <c r="D50" s="97" t="s">
        <v>342</v>
      </c>
    </row>
    <row r="51" spans="1:4">
      <c r="D51" t="s">
        <v>376</v>
      </c>
    </row>
    <row r="52" spans="1:4">
      <c r="D52" t="s">
        <v>377</v>
      </c>
    </row>
    <row r="53" spans="1:4">
      <c r="D53" t="s">
        <v>378</v>
      </c>
    </row>
    <row r="54" spans="1:4">
      <c r="D54" t="s">
        <v>379</v>
      </c>
    </row>
    <row r="55" spans="1:4">
      <c r="D55" t="s">
        <v>380</v>
      </c>
    </row>
    <row r="56" spans="1:4">
      <c r="A56" t="s">
        <v>381</v>
      </c>
      <c r="D56" t="s">
        <v>382</v>
      </c>
    </row>
    <row r="57" spans="1:4">
      <c r="D57" t="s">
        <v>342</v>
      </c>
    </row>
    <row r="58" spans="1:4">
      <c r="A58" s="97" t="s">
        <v>383</v>
      </c>
      <c r="D58" t="s">
        <v>384</v>
      </c>
    </row>
    <row r="59" spans="1:4">
      <c r="A59" s="97"/>
      <c r="D59" s="97" t="s">
        <v>342</v>
      </c>
    </row>
    <row r="60" spans="1:4">
      <c r="D60" s="97" t="s">
        <v>385</v>
      </c>
    </row>
    <row r="61" spans="1:4">
      <c r="D61" s="97" t="s">
        <v>386</v>
      </c>
    </row>
    <row r="62" spans="1:4">
      <c r="A62" t="s">
        <v>387</v>
      </c>
      <c r="D62" t="s">
        <v>388</v>
      </c>
    </row>
    <row r="63" spans="1:4">
      <c r="D63" s="97" t="s">
        <v>342</v>
      </c>
    </row>
    <row r="64" spans="1:4">
      <c r="A64" t="s">
        <v>389</v>
      </c>
      <c r="D64" t="s">
        <v>390</v>
      </c>
    </row>
    <row r="65" spans="1:4">
      <c r="A65" t="s">
        <v>391</v>
      </c>
      <c r="D65" t="s">
        <v>392</v>
      </c>
    </row>
    <row r="66" spans="1:4">
      <c r="A66" t="s">
        <v>393</v>
      </c>
      <c r="D66" t="s">
        <v>394</v>
      </c>
    </row>
    <row r="67" spans="1:4">
      <c r="A67" s="97" t="s">
        <v>395</v>
      </c>
      <c r="D67" s="97" t="s">
        <v>396</v>
      </c>
    </row>
    <row r="68" spans="1:4">
      <c r="A68" s="97"/>
      <c r="D68" s="97"/>
    </row>
    <row r="69" spans="1:4">
      <c r="A69" t="s">
        <v>397</v>
      </c>
    </row>
    <row r="70" spans="1:4">
      <c r="D70" t="s">
        <v>342</v>
      </c>
    </row>
    <row r="71" spans="1:4">
      <c r="D71" t="s">
        <v>398</v>
      </c>
    </row>
    <row r="72" spans="1:4">
      <c r="D72" t="s">
        <v>399</v>
      </c>
    </row>
    <row r="73" spans="1:4">
      <c r="D73" t="s">
        <v>400</v>
      </c>
    </row>
    <row r="74" spans="1:4">
      <c r="A74" t="s">
        <v>401</v>
      </c>
      <c r="D74" t="s">
        <v>402</v>
      </c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oplinkwh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haidongh</dc:creator>
  <cp:keywords/>
  <dc:description/>
  <cp:lastModifiedBy/>
  <cp:revision/>
  <dcterms:created xsi:type="dcterms:W3CDTF">2014-04-11T06:26:01Z</dcterms:created>
  <dcterms:modified xsi:type="dcterms:W3CDTF">2026-04-24T04:13:17Z</dcterms:modified>
  <cp:category/>
  <cp:contentStatus/>
</cp:coreProperties>
</file>